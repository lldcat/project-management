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项目成本、进度及绩效管理表-示例表" state="visible" r:id="rId4"/>
    <sheet sheetId="3" name="附件1：项目成本、进度及绩效管理表 " state="visible" r:id="rId5"/>
  </sheets>
  <calcPr calcId="171027"/>
</workbook>
</file>

<file path=xl/sharedStrings.xml><?xml version="1.0" encoding="utf-8"?>
<sst xmlns="http://schemas.openxmlformats.org/spreadsheetml/2006/main" count="111" uniqueCount="56">
  <si>
    <t xml:space="preserve">重要提醒：
1）该表不仅适用于商品检测主体签署的咨询合同，也适用于认证检测主体下签署的合同，一份合同一张表；“一单一表”管理，即每个订单都要单独填写此表；
2）PM负责填写此表，每个月19日之前完成填写，每个月20号在例会上review；
3）2026年1月1日以后立项的项目，都需要补充这个表；
4)蓝色部分需要PM填写，绿色部分有公式，可自动生成数值，勿动，表中数据为模拟测试数据，请使用&lt;项目成本、进度及绩效管理表&gt;填写；</t>
  </si>
  <si>
    <t>项目成本、进度及绩效管理表</t>
  </si>
  <si>
    <t>客户名称</t>
  </si>
  <si>
    <t>XX有限公司</t>
  </si>
  <si>
    <t>-</t>
  </si>
  <si>
    <t>项目号</t>
  </si>
  <si>
    <t>74XXXXXX</t>
  </si>
  <si>
    <t>项目起止时间</t>
  </si>
  <si>
    <t>2026年4月1日-7月30日</t>
  </si>
  <si>
    <t>项目经理</t>
  </si>
  <si>
    <t>XX</t>
  </si>
  <si>
    <t>项目组员</t>
  </si>
  <si>
    <t>XX,XX,XX</t>
  </si>
  <si>
    <t>预算总工时（小时）</t>
  </si>
  <si>
    <t>子项目1</t>
  </si>
  <si>
    <t>子项目2</t>
  </si>
  <si>
    <t>子项目3</t>
  </si>
  <si>
    <t>“人天”这里填报价单上的所有人天（onsite+Offsite）*8；</t>
  </si>
  <si>
    <t>预算人工天单价（元）</t>
  </si>
  <si>
    <t>“人天单价”填写报价单上的价格，如果一个项目里有多个子项目或单价，则分别填写。</t>
  </si>
  <si>
    <t>差旅费（元）</t>
  </si>
  <si>
    <t>此处填写报价单上的差旅费；</t>
  </si>
  <si>
    <t>项目总预算（BAC）</t>
  </si>
  <si>
    <t xml:space="preserve">注：自动生成，无需填写。
</t>
  </si>
  <si>
    <t>组员个人分配工时（小时）</t>
  </si>
  <si>
    <t>PM根据总工时分配给各个组员的工时</t>
  </si>
  <si>
    <t>应完成的工时数（小时）</t>
  </si>
  <si>
    <t>结合项目进度表，将总工时分拆到具体每一个步骤中，此处填写按照进步表，应该完成的工时数；</t>
  </si>
  <si>
    <t>应完工的比例（%）</t>
  </si>
  <si>
    <t>注：自动生成，无需填写。</t>
  </si>
  <si>
    <t>计划价值（Planned Value, PV）</t>
  </si>
  <si>
    <t>实际完工小时数</t>
  </si>
  <si>
    <t>PM-AR已填报工时</t>
  </si>
  <si>
    <t>组员1-AR已填报工时</t>
  </si>
  <si>
    <t>组员2-AR已填报工时</t>
  </si>
  <si>
    <t>截止到当月19号，AR里的所有项目组成员关于本项目的工时加总=(billable time+project time+travel time)；</t>
  </si>
  <si>
    <t>实际完工的比例（%）</t>
  </si>
  <si>
    <t>挣值（Earned Value, EV）</t>
  </si>
  <si>
    <t>项目组的实际成本（Actual Cost, AC）</t>
  </si>
  <si>
    <r>
      <rPr>
        <color rgb="FFFF0000"/>
        <family val="2"/>
        <sz val="8"/>
        <rFont val="TUV SUD Pro Light"/>
      </rPr>
      <t>注：自动生成，无需填写。</t>
    </r>
    <r>
      <rPr>
        <color rgb="FF000000"/>
        <family val="2"/>
        <sz val="8"/>
        <rFont val="TUV SUD Pro Light"/>
      </rPr>
      <t>“人天单价”我们公司内部定义的人天单价，用50万÷当月ESG部门的人数，暂且都用固定使用5000；</t>
    </r>
  </si>
  <si>
    <t>成本偏差（CV = EV - AC）</t>
  </si>
  <si>
    <r>
      <rPr>
        <color rgb="FFFF0000"/>
        <family val="2"/>
        <sz val="8"/>
        <rFont val="TUV SUD Pro Light"/>
      </rPr>
      <t>注：自动生成，无需填写。</t>
    </r>
    <r>
      <rPr>
        <color rgb="FF000000"/>
        <family val="2"/>
        <sz val="8"/>
        <rFont val="TUV SUD Pro Light"/>
      </rPr>
      <t>衡量成本是否超支，＜0代表亏损了；</t>
    </r>
  </si>
  <si>
    <t>进度偏差（SV = EV - PV）</t>
  </si>
  <si>
    <r>
      <rPr>
        <color rgb="FFFF0000"/>
        <family val="2"/>
        <sz val="8"/>
        <rFont val="TUV SUD Pro Light"/>
      </rPr>
      <t>注：自动生成，无需填写。</t>
    </r>
    <r>
      <rPr>
        <color rgb="FF000000"/>
        <family val="2"/>
        <sz val="8"/>
        <rFont val="TUV SUD Pro Light"/>
      </rPr>
      <t>衡量进度是否落后或超前，＜0就能看出滞后了；</t>
    </r>
  </si>
  <si>
    <t>成本绩效（CPI = EV / AC）</t>
  </si>
  <si>
    <r>
      <rPr>
        <color rgb="FFFF0000"/>
        <family val="2"/>
        <sz val="8"/>
        <rFont val="TUV SUD Pro Light"/>
      </rPr>
      <t>注：自动生成，无需填写。</t>
    </r>
    <r>
      <rPr>
        <color rgb="FF000000"/>
        <family val="2"/>
        <sz val="8"/>
        <rFont val="TUV SUD Pro Light"/>
      </rPr>
      <t>CPI &gt; 1 表示是盈利的；</t>
    </r>
  </si>
  <si>
    <t>进度绩效（SPI = EV / PV）</t>
  </si>
  <si>
    <r>
      <rPr>
        <color rgb="FFFF0000"/>
        <family val="2"/>
        <sz val="8"/>
        <rFont val="TUV SUD Pro Light"/>
      </rPr>
      <t>注：自动生成，无需填写。</t>
    </r>
    <r>
      <rPr>
        <color rgb="FF000000"/>
        <family val="2"/>
        <sz val="8"/>
        <rFont val="TUV SUD Pro Light"/>
      </rPr>
      <t>SPI &gt; 1 表示进度超前，没有滞后；</t>
    </r>
  </si>
  <si>
    <t>生效日期：</t>
  </si>
  <si>
    <t>2026年1月1日</t>
  </si>
  <si>
    <t>文件版本号：</t>
  </si>
  <si>
    <t>ESGPMT202602.v1</t>
  </si>
  <si>
    <t>表单制作人：</t>
  </si>
  <si>
    <t>Jophy Zhu</t>
  </si>
  <si>
    <t>表单签批人：</t>
  </si>
  <si>
    <t>Andrew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</si>
</sst>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¥-804]* #,##0.00_ ;_ [$¥-804]* -#,##0.00_ ;_ [$¥-804]* &quot;-&quot;??_ ;_ @_ "/>
  </numFmts>
  <fonts count="7" x14ac:knownFonts="1">
    <font>
      <color theme="1"/>
      <family val="2"/>
      <scheme val="minor"/>
      <sz val="11"/>
      <name val="Calibri"/>
    </font>
    <font>
      <color theme="1"/>
      <family val="2"/>
      <sz val="11"/>
      <name val="TUV SUD Pro Light"/>
    </font>
    <font>
      <color rgb="FFFF0000"/>
      <family val="2"/>
      <sz val="8"/>
      <name val="TUV SUD Pro Light"/>
    </font>
    <font>
      <b/>
      <color rgb="FFFFFFFF"/>
      <family val="2"/>
      <sz val="11"/>
      <name val="TUV SUD Pro Light"/>
    </font>
    <font>
      <color rgb="FF000000"/>
      <family val="2"/>
      <sz val="9"/>
      <name val="TUV SUD Pro Light"/>
    </font>
    <font>
      <color rgb="FF000000"/>
      <family val="2"/>
      <sz val="8"/>
      <name val="TUV SUD Pro Light"/>
    </font>
    <font>
      <color theme="1"/>
      <family val="2"/>
      <sz val="8"/>
      <name val="TUV SUD Pro Light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A3DBFF"/>
        <bgColor rgb="FF000000"/>
      </patternFill>
    </fill>
    <fill>
      <patternFill patternType="solid">
        <fgColor rgb="FF7CEB99"/>
        <bgColor rgb="FF00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center" vertical="center" wrapText="1"/>
    </xf>
    <xf numFmtId="164" fontId="4" fillId="4" borderId="4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 wrapText="1"/>
    </xf>
    <xf numFmtId="164" fontId="4" fillId="4" borderId="6" xfId="0" applyNumberFormat="1" applyFont="1" applyFill="1" applyBorder="1" applyAlignment="1">
      <alignment horizontal="center" vertical="center" wrapText="1"/>
    </xf>
    <xf numFmtId="10" fontId="4" fillId="5" borderId="2" xfId="0" applyNumberFormat="1" applyFont="1" applyFill="1" applyBorder="1" applyAlignment="1">
      <alignment horizontal="center" vertical="center" wrapText="1"/>
    </xf>
    <xf numFmtId="10" fontId="4" fillId="5" borderId="3" xfId="0" applyNumberFormat="1" applyFont="1" applyFill="1" applyBorder="1" applyAlignment="1">
      <alignment horizontal="center" vertical="center" wrapText="1"/>
    </xf>
    <xf numFmtId="10" fontId="4" fillId="5" borderId="4" xfId="0" applyNumberFormat="1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4" fontId="4" fillId="5" borderId="3" xfId="0" applyNumberFormat="1" applyFont="1" applyFill="1" applyBorder="1" applyAlignment="1">
      <alignment horizontal="center" vertical="center" wrapText="1"/>
    </xf>
    <xf numFmtId="164" fontId="4" fillId="5" borderId="4" xfId="0" applyNumberFormat="1" applyFont="1" applyFill="1" applyBorder="1" applyAlignment="1">
      <alignment horizontal="center" vertical="center" wrapText="1"/>
    </xf>
    <xf numFmtId="9" fontId="4" fillId="0" borderId="6" xfId="0" applyNumberFormat="1" applyFont="1" applyBorder="1" applyAlignment="1">
      <alignment horizontal="center" vertical="center" wrapText="1"/>
    </xf>
    <xf numFmtId="1" fontId="4" fillId="4" borderId="6" xfId="0" applyNumberFormat="1" applyFont="1" applyFill="1" applyBorder="1" applyAlignment="1">
      <alignment horizontal="center" vertical="center" wrapText="1"/>
    </xf>
    <xf numFmtId="2" fontId="4" fillId="5" borderId="2" xfId="0" applyNumberFormat="1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 wrapText="1"/>
    </xf>
    <xf numFmtId="2" fontId="4" fillId="5" borderId="9" xfId="0" applyNumberFormat="1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wrapText="1"/>
    </xf>
    <xf numFmtId="0" fontId="4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 showGridLines="0" zoomScale="100" zoomScaleNormal="100">
      <selection activeCell="D10" sqref="D10"/>
    </sheetView>
  </sheetViews>
  <sheetFormatPr defaultRowHeight="14" outlineLevelRow="0" outlineLevelCol="0" x14ac:dyDescent="0" customHeight="1"/>
  <cols>
    <col min="1" max="1" width="30.08984375" style="1" customWidth="1"/>
    <col min="2" max="4" width="23.36328125" style="1" customWidth="1"/>
    <col min="5" max="5" width="59.1796875" style="1" customWidth="1"/>
    <col min="6" max="16384" width="8.7265625" style="1" customWidth="1"/>
  </cols>
  <sheetData>
    <row r="1" ht="53" customHeight="1" spans="1:5" x14ac:dyDescent="0.25">
      <c r="A1" s="2" t="s">
        <v>0</v>
      </c>
      <c r="B1" s="2"/>
      <c r="C1" s="2"/>
      <c r="D1" s="2"/>
      <c r="E1" s="2"/>
    </row>
    <row r="2" ht="35.5" customHeight="1" spans="1:5" x14ac:dyDescent="0.25">
      <c r="A2" s="3" t="s">
        <v>1</v>
      </c>
      <c r="B2" s="4"/>
      <c r="C2" s="4"/>
      <c r="D2" s="4"/>
      <c r="E2" s="5"/>
    </row>
    <row r="3" spans="1:5" x14ac:dyDescent="0.25">
      <c r="A3" s="6" t="s">
        <v>2</v>
      </c>
      <c r="B3" s="7" t="s">
        <v>3</v>
      </c>
      <c r="C3" s="8"/>
      <c r="D3" s="9"/>
      <c r="E3" s="10" t="s">
        <v>4</v>
      </c>
    </row>
    <row r="4" spans="1:5" x14ac:dyDescent="0.25">
      <c r="A4" s="6" t="s">
        <v>5</v>
      </c>
      <c r="B4" s="7" t="s">
        <v>6</v>
      </c>
      <c r="C4" s="8"/>
      <c r="D4" s="9"/>
      <c r="E4" s="10" t="s">
        <v>4</v>
      </c>
    </row>
    <row r="5" spans="1:5" x14ac:dyDescent="0.25">
      <c r="A5" s="6" t="s">
        <v>7</v>
      </c>
      <c r="B5" s="7" t="s">
        <v>8</v>
      </c>
      <c r="C5" s="8"/>
      <c r="D5" s="9"/>
      <c r="E5" s="10" t="s">
        <v>4</v>
      </c>
    </row>
    <row r="6" spans="1:5" x14ac:dyDescent="0.25">
      <c r="A6" s="6" t="s">
        <v>9</v>
      </c>
      <c r="B6" s="7" t="s">
        <v>10</v>
      </c>
      <c r="C6" s="8"/>
      <c r="D6" s="9"/>
      <c r="E6" s="10" t="s">
        <v>4</v>
      </c>
    </row>
    <row r="7" spans="1:5" x14ac:dyDescent="0.25">
      <c r="A7" s="6" t="s">
        <v>11</v>
      </c>
      <c r="B7" s="7" t="s">
        <v>12</v>
      </c>
      <c r="C7" s="8"/>
      <c r="D7" s="9"/>
      <c r="E7" s="11" t="s">
        <v>4</v>
      </c>
    </row>
    <row r="8" ht="14.5" customHeight="1" spans="1:5" x14ac:dyDescent="0.25">
      <c r="A8" s="12" t="s">
        <v>13</v>
      </c>
      <c r="B8" s="13" t="s">
        <v>14</v>
      </c>
      <c r="C8" s="13" t="s">
        <v>15</v>
      </c>
      <c r="D8" s="13" t="s">
        <v>16</v>
      </c>
      <c r="E8" s="11" t="s">
        <v>17</v>
      </c>
    </row>
    <row r="9" spans="1:5" x14ac:dyDescent="0.25">
      <c r="A9" s="14"/>
      <c r="B9" s="15">
        <v>20</v>
      </c>
      <c r="C9" s="15">
        <v>30</v>
      </c>
      <c r="D9" s="15">
        <v>6</v>
      </c>
      <c r="E9" s="16"/>
    </row>
    <row r="10" spans="1:5" x14ac:dyDescent="0.25">
      <c r="A10" s="6" t="s">
        <v>18</v>
      </c>
      <c r="B10" s="15">
        <v>9000</v>
      </c>
      <c r="C10" s="15">
        <v>7000</v>
      </c>
      <c r="D10" s="15">
        <v>12000</v>
      </c>
      <c r="E10" s="17" t="s">
        <v>19</v>
      </c>
    </row>
    <row r="11" spans="1:5" x14ac:dyDescent="0.25">
      <c r="A11" s="6" t="s">
        <v>20</v>
      </c>
      <c r="B11" s="18">
        <v>5000</v>
      </c>
      <c r="C11" s="19"/>
      <c r="D11" s="20"/>
      <c r="E11" s="17" t="s">
        <v>21</v>
      </c>
    </row>
    <row r="12" ht="20" customHeight="1" spans="1:5" x14ac:dyDescent="0.25">
      <c r="A12" s="6" t="s">
        <v>22</v>
      </c>
      <c r="B12" s="18">
        <f>SUMPRODUCT(B9:D9,B10:D10)/8</f>
        <v>57750</v>
      </c>
      <c r="C12" s="19"/>
      <c r="D12" s="20"/>
      <c r="E12" s="21" t="s">
        <v>23</v>
      </c>
    </row>
    <row r="13" spans="1:5" x14ac:dyDescent="0.25">
      <c r="A13" s="6" t="s">
        <v>24</v>
      </c>
      <c r="B13" s="22"/>
      <c r="C13" s="22"/>
      <c r="D13" s="22"/>
      <c r="E13" s="17" t="s">
        <v>25</v>
      </c>
    </row>
    <row r="14" ht="20" customHeight="1" spans="1:5" x14ac:dyDescent="0.25">
      <c r="A14" s="6" t="s">
        <v>26</v>
      </c>
      <c r="B14" s="15">
        <v>5</v>
      </c>
      <c r="C14" s="15">
        <v>10</v>
      </c>
      <c r="D14" s="15">
        <v>6</v>
      </c>
      <c r="E14" s="17" t="s">
        <v>27</v>
      </c>
    </row>
    <row r="15" spans="1:5" x14ac:dyDescent="0.25">
      <c r="A15" s="6" t="s">
        <v>28</v>
      </c>
      <c r="B15" s="23">
        <f>IFERROR(SUM(B14:D14)/SUM(B9:D9),"")</f>
        <v>0.375</v>
      </c>
      <c r="C15" s="24"/>
      <c r="D15" s="25"/>
      <c r="E15" s="21" t="s">
        <v>29</v>
      </c>
    </row>
    <row r="16" spans="1:5" x14ac:dyDescent="0.25">
      <c r="A16" s="6" t="s">
        <v>30</v>
      </c>
      <c r="B16" s="26">
        <f>MIN(B15,100%)*B12</f>
        <v>21656.25</v>
      </c>
      <c r="C16" s="27"/>
      <c r="D16" s="28"/>
      <c r="E16" s="21" t="s">
        <v>29</v>
      </c>
    </row>
    <row r="17" ht="14.5" customHeight="1" spans="1:5" x14ac:dyDescent="0.25">
      <c r="A17" s="12" t="s">
        <v>31</v>
      </c>
      <c r="B17" s="29" t="s">
        <v>32</v>
      </c>
      <c r="C17" s="29" t="s">
        <v>33</v>
      </c>
      <c r="D17" s="29" t="s">
        <v>34</v>
      </c>
      <c r="E17" s="11" t="s">
        <v>35</v>
      </c>
    </row>
    <row r="18" spans="1:5" x14ac:dyDescent="0.25">
      <c r="A18" s="14"/>
      <c r="B18" s="30">
        <v>4</v>
      </c>
      <c r="C18" s="30">
        <v>11</v>
      </c>
      <c r="D18" s="30">
        <v>6</v>
      </c>
      <c r="E18" s="16"/>
    </row>
    <row r="19" spans="1:5" x14ac:dyDescent="0.25">
      <c r="A19" s="6" t="s">
        <v>36</v>
      </c>
      <c r="B19" s="23">
        <f>IFERROR(SUM(B18:D18)/SUM(B9:D9),"")</f>
        <v>0.375</v>
      </c>
      <c r="C19" s="24"/>
      <c r="D19" s="25"/>
      <c r="E19" s="21" t="s">
        <v>29</v>
      </c>
    </row>
    <row r="20" spans="1:5" x14ac:dyDescent="0.25">
      <c r="A20" s="14" t="s">
        <v>37</v>
      </c>
      <c r="B20" s="23">
        <f>MIN(B19,100%)*B12</f>
        <v>21656.25</v>
      </c>
      <c r="C20" s="24"/>
      <c r="D20" s="25"/>
      <c r="E20" s="21" t="s">
        <v>29</v>
      </c>
    </row>
    <row r="21" ht="20" customHeight="1" spans="1:5" x14ac:dyDescent="0.25">
      <c r="A21" s="14" t="s">
        <v>38</v>
      </c>
      <c r="B21" s="26">
        <f>SUM(B18:D18)/8*5000</f>
        <v>13125</v>
      </c>
      <c r="C21" s="27"/>
      <c r="D21" s="28"/>
      <c r="E21" s="17" t="s">
        <v>39</v>
      </c>
    </row>
    <row r="22" spans="1:5" x14ac:dyDescent="0.25">
      <c r="A22" s="6" t="s">
        <v>40</v>
      </c>
      <c r="B22" s="31">
        <f>B20-B21</f>
        <v>160125</v>
      </c>
      <c r="C22" s="32"/>
      <c r="D22" s="33"/>
      <c r="E22" s="17" t="s">
        <v>41</v>
      </c>
    </row>
    <row r="23" spans="1:5" x14ac:dyDescent="0.25">
      <c r="A23" s="6" t="s">
        <v>42</v>
      </c>
      <c r="B23" s="23">
        <f>B20-B16</f>
        <v>0</v>
      </c>
      <c r="C23" s="24"/>
      <c r="D23" s="34"/>
      <c r="E23" s="17" t="s">
        <v>43</v>
      </c>
    </row>
    <row r="24" spans="1:5" x14ac:dyDescent="0.25">
      <c r="A24" s="6" t="s">
        <v>44</v>
      </c>
      <c r="B24" s="35">
        <f>IFERROR(B20/B21,"")</f>
        <v>1.6500000000000001</v>
      </c>
      <c r="C24" s="24"/>
      <c r="D24" s="34"/>
      <c r="E24" s="17" t="s">
        <v>45</v>
      </c>
    </row>
    <row r="25" spans="1:5" x14ac:dyDescent="0.25">
      <c r="A25" s="6" t="s">
        <v>46</v>
      </c>
      <c r="B25" s="35">
        <f>IFERROR(B20/B16,"")</f>
        <v>1</v>
      </c>
      <c r="C25" s="24"/>
      <c r="D25" s="34"/>
      <c r="E25" s="17" t="s">
        <v>47</v>
      </c>
    </row>
    <row r="27" spans="1:2" x14ac:dyDescent="0.25">
      <c r="A27" s="36" t="s">
        <v>48</v>
      </c>
      <c r="B27" s="36" t="s">
        <v>49</v>
      </c>
    </row>
    <row r="28" spans="1:2" x14ac:dyDescent="0.25">
      <c r="A28" s="36" t="s">
        <v>50</v>
      </c>
      <c r="B28" s="36" t="s">
        <v>51</v>
      </c>
    </row>
    <row r="29" spans="1:2" x14ac:dyDescent="0.25">
      <c r="A29" s="36" t="s">
        <v>52</v>
      </c>
      <c r="B29" s="36" t="s">
        <v>53</v>
      </c>
    </row>
    <row r="30" spans="1:2" x14ac:dyDescent="0.25">
      <c r="A30" s="36" t="s">
        <v>54</v>
      </c>
      <c r="B30" s="36" t="s">
        <v>55</v>
      </c>
    </row>
  </sheetData>
  <mergeCells count="22">
    <mergeCell ref="A1:E1"/>
    <mergeCell ref="A2:E2"/>
    <mergeCell ref="B3:D3"/>
    <mergeCell ref="B4:D4"/>
    <mergeCell ref="B5:D5"/>
    <mergeCell ref="B6:D6"/>
    <mergeCell ref="B7:D7"/>
    <mergeCell ref="A8:A9"/>
    <mergeCell ref="E8:E9"/>
    <mergeCell ref="B11:D11"/>
    <mergeCell ref="B12:D12"/>
    <mergeCell ref="B15:D15"/>
    <mergeCell ref="B16:D16"/>
    <mergeCell ref="A17:A18"/>
    <mergeCell ref="E17:E18"/>
    <mergeCell ref="B19:D19"/>
    <mergeCell ref="B20:D20"/>
    <mergeCell ref="B21:D21"/>
    <mergeCell ref="B22:D22"/>
    <mergeCell ref="B23:D23"/>
    <mergeCell ref="B24:D24"/>
    <mergeCell ref="B25:D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 showGridLines="0" zoomScale="100" zoomScaleNormal="100">
      <selection activeCell="E19" sqref="E19"/>
    </sheetView>
  </sheetViews>
  <sheetFormatPr defaultRowHeight="14" outlineLevelRow="0" outlineLevelCol="0" x14ac:dyDescent="0" customHeight="1"/>
  <cols>
    <col min="1" max="1" width="30.08984375" style="1" customWidth="1"/>
    <col min="2" max="4" width="23.36328125" style="1" customWidth="1"/>
    <col min="5" max="5" width="59.1796875" style="1" customWidth="1"/>
    <col min="6" max="16384" width="8.7265625" style="1" customWidth="1"/>
  </cols>
  <sheetData>
    <row r="1" ht="53" customHeight="1" spans="1:5" x14ac:dyDescent="0.25">
      <c r="A1" s="2" t="s">
        <v>0</v>
      </c>
      <c r="B1" s="2"/>
      <c r="C1" s="2"/>
      <c r="D1" s="2"/>
      <c r="E1" s="2"/>
    </row>
    <row r="2" ht="35.5" customHeight="1" spans="1:5" x14ac:dyDescent="0.25">
      <c r="A2" s="3" t="s">
        <v>1</v>
      </c>
      <c r="B2" s="4"/>
      <c r="C2" s="4"/>
      <c r="D2" s="4"/>
      <c r="E2" s="5"/>
    </row>
    <row r="3" spans="1:5" x14ac:dyDescent="0.25">
      <c r="A3" s="6" t="s">
        <v>2</v>
      </c>
      <c r="B3" s="7"/>
      <c r="C3" s="8"/>
      <c r="D3" s="9"/>
      <c r="E3" s="10" t="s">
        <v>4</v>
      </c>
    </row>
    <row r="4" spans="1:5" x14ac:dyDescent="0.25">
      <c r="A4" s="6" t="s">
        <v>5</v>
      </c>
      <c r="B4" s="7"/>
      <c r="C4" s="8"/>
      <c r="D4" s="9"/>
      <c r="E4" s="10" t="s">
        <v>4</v>
      </c>
    </row>
    <row r="5" spans="1:5" x14ac:dyDescent="0.25">
      <c r="A5" s="6" t="s">
        <v>7</v>
      </c>
      <c r="B5" s="7"/>
      <c r="C5" s="8"/>
      <c r="D5" s="9"/>
      <c r="E5" s="10" t="s">
        <v>4</v>
      </c>
    </row>
    <row r="6" spans="1:5" x14ac:dyDescent="0.25">
      <c r="A6" s="6" t="s">
        <v>9</v>
      </c>
      <c r="B6" s="7"/>
      <c r="C6" s="8"/>
      <c r="D6" s="9"/>
      <c r="E6" s="10" t="s">
        <v>4</v>
      </c>
    </row>
    <row r="7" spans="1:5" x14ac:dyDescent="0.25">
      <c r="A7" s="6" t="s">
        <v>11</v>
      </c>
      <c r="B7" s="7"/>
      <c r="C7" s="8"/>
      <c r="D7" s="9"/>
      <c r="E7" s="11" t="s">
        <v>4</v>
      </c>
    </row>
    <row r="8" ht="14.5" customHeight="1" spans="1:5" x14ac:dyDescent="0.25">
      <c r="A8" s="12" t="s">
        <v>13</v>
      </c>
      <c r="B8" s="37" t="s">
        <v>14</v>
      </c>
      <c r="C8" s="37" t="s">
        <v>15</v>
      </c>
      <c r="D8" s="37" t="s">
        <v>16</v>
      </c>
      <c r="E8" s="11" t="s">
        <v>17</v>
      </c>
    </row>
    <row r="9" spans="1:5" x14ac:dyDescent="0.25">
      <c r="A9" s="14"/>
      <c r="B9" s="15"/>
      <c r="C9" s="15"/>
      <c r="D9" s="15"/>
      <c r="E9" s="16"/>
    </row>
    <row r="10" spans="1:5" x14ac:dyDescent="0.25">
      <c r="A10" s="6" t="s">
        <v>18</v>
      </c>
      <c r="B10" s="15"/>
      <c r="C10" s="15"/>
      <c r="D10" s="15"/>
      <c r="E10" s="17" t="s">
        <v>19</v>
      </c>
    </row>
    <row r="11" spans="1:5" x14ac:dyDescent="0.25">
      <c r="A11" s="6" t="s">
        <v>20</v>
      </c>
      <c r="B11" s="18"/>
      <c r="C11" s="19"/>
      <c r="D11" s="20"/>
      <c r="E11" s="17" t="s">
        <v>21</v>
      </c>
    </row>
    <row r="12" ht="20" customHeight="1" spans="1:5" x14ac:dyDescent="0.25">
      <c r="A12" s="6" t="s">
        <v>22</v>
      </c>
      <c r="B12" s="18"/>
      <c r="C12" s="19"/>
      <c r="D12" s="20"/>
      <c r="E12" s="21" t="s">
        <v>23</v>
      </c>
    </row>
    <row r="13" ht="20" customHeight="1" spans="1:5" x14ac:dyDescent="0.25">
      <c r="A13" s="6" t="s">
        <v>26</v>
      </c>
      <c r="B13" s="15"/>
      <c r="C13" s="15"/>
      <c r="D13" s="15"/>
      <c r="E13" s="17" t="s">
        <v>27</v>
      </c>
    </row>
    <row r="14" spans="1:5" x14ac:dyDescent="0.25">
      <c r="A14" s="6" t="s">
        <v>28</v>
      </c>
      <c r="B14" s="23" t="e">
        <f>SUM(B13:D13)/SUM(B9:D9)</f>
        <v>#DIV/0!</v>
      </c>
      <c r="C14" s="24"/>
      <c r="D14" s="25"/>
      <c r="E14" s="21" t="s">
        <v>29</v>
      </c>
    </row>
    <row r="15" spans="1:5" x14ac:dyDescent="0.25">
      <c r="A15" s="6" t="s">
        <v>30</v>
      </c>
      <c r="B15" s="26" t="e">
        <f>B14*B12</f>
        <v>#DIV/0!</v>
      </c>
      <c r="C15" s="27"/>
      <c r="D15" s="28"/>
      <c r="E15" s="21" t="s">
        <v>29</v>
      </c>
    </row>
    <row r="16" ht="14.5" customHeight="1" spans="1:5" x14ac:dyDescent="0.25">
      <c r="A16" s="12" t="s">
        <v>31</v>
      </c>
      <c r="B16" s="29" t="s">
        <v>32</v>
      </c>
      <c r="C16" s="29" t="s">
        <v>33</v>
      </c>
      <c r="D16" s="29" t="s">
        <v>34</v>
      </c>
      <c r="E16" s="11" t="s">
        <v>35</v>
      </c>
    </row>
    <row r="17" spans="1:5" x14ac:dyDescent="0.25">
      <c r="A17" s="14"/>
      <c r="B17" s="30"/>
      <c r="C17" s="30"/>
      <c r="D17" s="30"/>
      <c r="E17" s="16"/>
    </row>
    <row r="18" spans="1:5" x14ac:dyDescent="0.25">
      <c r="A18" s="6" t="s">
        <v>36</v>
      </c>
      <c r="B18" s="23" t="e">
        <f>SUM(B17:D17)/SUM(B9:D9)</f>
        <v>#DIV/0!</v>
      </c>
      <c r="C18" s="24"/>
      <c r="D18" s="25"/>
      <c r="E18" s="21" t="s">
        <v>29</v>
      </c>
    </row>
    <row r="19" spans="1:5" x14ac:dyDescent="0.25">
      <c r="A19" s="14" t="s">
        <v>37</v>
      </c>
      <c r="B19" s="23" t="e">
        <f>B18*B12</f>
        <v>#DIV/0!</v>
      </c>
      <c r="C19" s="24"/>
      <c r="D19" s="25"/>
      <c r="E19" s="21" t="s">
        <v>29</v>
      </c>
    </row>
    <row r="20" ht="20" customHeight="1" spans="1:5" x14ac:dyDescent="0.25">
      <c r="A20" s="14" t="s">
        <v>38</v>
      </c>
      <c r="B20" s="26">
        <f>SUM(B17:D17)/8*5000</f>
        <v>0</v>
      </c>
      <c r="C20" s="27"/>
      <c r="D20" s="28"/>
      <c r="E20" s="17" t="s">
        <v>39</v>
      </c>
    </row>
    <row r="21" spans="1:5" x14ac:dyDescent="0.25">
      <c r="A21" s="6" t="s">
        <v>40</v>
      </c>
      <c r="B21" s="31" t="e">
        <f>B19-B20</f>
        <v>#DIV/0!</v>
      </c>
      <c r="C21" s="32"/>
      <c r="D21" s="33"/>
      <c r="E21" s="17" t="s">
        <v>41</v>
      </c>
    </row>
    <row r="22" spans="1:5" x14ac:dyDescent="0.25">
      <c r="A22" s="6" t="s">
        <v>42</v>
      </c>
      <c r="B22" s="23" t="e">
        <f>B19-B15</f>
        <v>#DIV/0!</v>
      </c>
      <c r="C22" s="24"/>
      <c r="D22" s="34"/>
      <c r="E22" s="17" t="s">
        <v>43</v>
      </c>
    </row>
    <row r="23" spans="1:5" x14ac:dyDescent="0.25">
      <c r="A23" s="6" t="s">
        <v>44</v>
      </c>
      <c r="B23" s="35" t="e">
        <f>B19/B20</f>
        <v>#DIV/0!</v>
      </c>
      <c r="C23" s="24"/>
      <c r="D23" s="34"/>
      <c r="E23" s="17" t="s">
        <v>45</v>
      </c>
    </row>
    <row r="24" spans="1:5" x14ac:dyDescent="0.25">
      <c r="A24" s="6" t="s">
        <v>46</v>
      </c>
      <c r="B24" s="35" t="e">
        <f>B19/B15</f>
        <v>#DIV/0!</v>
      </c>
      <c r="C24" s="24"/>
      <c r="D24" s="34"/>
      <c r="E24" s="17" t="s">
        <v>47</v>
      </c>
    </row>
  </sheetData>
  <mergeCells count="22">
    <mergeCell ref="A1:E1"/>
    <mergeCell ref="A2:E2"/>
    <mergeCell ref="B3:D3"/>
    <mergeCell ref="B4:D4"/>
    <mergeCell ref="B5:D5"/>
    <mergeCell ref="B6:D6"/>
    <mergeCell ref="B7:D7"/>
    <mergeCell ref="A8:A9"/>
    <mergeCell ref="E8:E9"/>
    <mergeCell ref="B11:D11"/>
    <mergeCell ref="B12:D12"/>
    <mergeCell ref="B14:D14"/>
    <mergeCell ref="B15:D15"/>
    <mergeCell ref="A16:A17"/>
    <mergeCell ref="E16:E17"/>
    <mergeCell ref="B18:D18"/>
    <mergeCell ref="B19:D19"/>
    <mergeCell ref="B20:D20"/>
    <mergeCell ref="B21:D21"/>
    <mergeCell ref="B22:D22"/>
    <mergeCell ref="B23:D23"/>
    <mergeCell ref="B24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项目成本、进度及绩效管理表-示例表</vt:lpstr>
      <vt:lpstr>附件1：项目成本、进度及绩效管理表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Zhu, Wenjun (Jophy)</dc:creator>
  <cp:lastModifiedBy>Zhang, Bailiang (Neo)</cp:lastModifiedBy>
  <dcterms:created xsi:type="dcterms:W3CDTF">2015-06-05T18:17:20Z</dcterms:created>
  <dcterms:modified xsi:type="dcterms:W3CDTF">2026-06-23T02:53:57Z</dcterms:modified>
</cp:coreProperties>
</file>