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24226"/>
  <mc:AlternateContent xmlns:mc="http://schemas.openxmlformats.org/markup-compatibility/2006">
    <mc:Choice Requires="x15">
      <x15ac:absPath xmlns:x15ac="http://schemas.microsoft.com/office/spreadsheetml/2010/11/ac" url="G:\Guangzhou_Ndrive\Controlling\4 Controlling material\3. Template\Pre-cal tem\AUD\2026\"/>
    </mc:Choice>
  </mc:AlternateContent>
  <xr:revisionPtr revIDLastSave="0" documentId="13_ncr:1_{C9C07758-EDD0-4EA8-98AD-7DF3ED8B06BA}" xr6:coauthVersionLast="47" xr6:coauthVersionMax="47" xr10:uidLastSave="{00000000-0000-0000-0000-000000000000}"/>
  <bookViews>
    <workbookView xWindow="-120" yWindow="-120" windowWidth="20730" windowHeight="11040" tabRatio="788" firstSheet="2" activeTab="2" xr2:uid="{00000000-000D-0000-FFFF-FFFF00000000}"/>
  </bookViews>
  <sheets>
    <sheet name="Instruction" sheetId="6" state="hidden" r:id="rId1"/>
    <sheet name="Instruction_AUD" sheetId="39" state="hidden" r:id="rId2"/>
    <sheet name="AUD Pre-cal" sheetId="35" r:id="rId3"/>
    <sheet name="P&amp;L" sheetId="40" state="hidden" r:id="rId4"/>
    <sheet name="Hourly Rate" sheetId="42" state="hidden" r:id="rId5"/>
    <sheet name="Mapping" sheetId="41" state="hidden" r:id="rId6"/>
  </sheets>
  <externalReferences>
    <externalReference r:id="rId7"/>
    <externalReference r:id="rId8"/>
    <externalReference r:id="rId9"/>
  </externalReferences>
  <definedNames>
    <definedName name="Anzeige_Text_1">#N/A</definedName>
    <definedName name="availablehours">'[1]P&amp;L Input'!$H$20</definedName>
    <definedName name="exchangerate">'[1]Exchange Rates'!$B$48:$B$87</definedName>
    <definedName name="FACTOR">'[1]Input Machines'!$BQ$15:$BQ$19</definedName>
    <definedName name="FTE">'[1]P&amp;L Input'!$H$16</definedName>
    <definedName name="grosshours">'[1]P&amp;L Input'!$H$19</definedName>
    <definedName name="Labtyp">'[1]Data Others'!$A$1:$H$1</definedName>
    <definedName name="ok">[2]Start!$I$6</definedName>
    <definedName name="otherpersonnelcosts">'[1]P&amp;L Input'!$H$35</definedName>
    <definedName name="pensionfunds">'[1]P&amp;L Input'!$H$34</definedName>
    <definedName name="personnelcosts">'[1]P&amp;L Input'!$H$31</definedName>
    <definedName name="_xlnm.Print_Area" localSheetId="0">Instruction!$A$1:$M$67</definedName>
    <definedName name="productivehours">'[1]P&amp;L Input'!$H$21</definedName>
    <definedName name="salary">'[1]P&amp;L Input'!$H$32</definedName>
    <definedName name="scen">[3]Sensitivities!$J$4</definedName>
    <definedName name="socialcosts">'[1]P&amp;L Input'!$H$33</definedName>
    <definedName name="sprache">[3]Start!$I$6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35" l="1"/>
  <c r="D28" i="35"/>
  <c r="E13" i="35" l="1"/>
  <c r="E14" i="35" s="1"/>
  <c r="F13" i="35"/>
  <c r="F14" i="35" s="1"/>
  <c r="G13" i="35"/>
  <c r="H13" i="35"/>
  <c r="D13" i="35"/>
  <c r="G14" i="35"/>
  <c r="H14" i="35"/>
  <c r="D14" i="35"/>
  <c r="C11" i="35"/>
  <c r="D33" i="35" l="1"/>
  <c r="E33" i="35"/>
  <c r="F33" i="35"/>
  <c r="G33" i="35"/>
  <c r="H33" i="35"/>
  <c r="F24" i="35"/>
  <c r="G12" i="35"/>
  <c r="H12" i="35"/>
  <c r="D12" i="35"/>
  <c r="D15" i="35" l="1"/>
  <c r="B48" i="35"/>
  <c r="E71" i="40"/>
  <c r="D67" i="40" l="1"/>
  <c r="G36" i="40"/>
  <c r="F36" i="40"/>
  <c r="F26" i="40"/>
  <c r="G26" i="40"/>
  <c r="F27" i="40"/>
  <c r="G27" i="40"/>
  <c r="F28" i="40"/>
  <c r="G28" i="40"/>
  <c r="F29" i="40"/>
  <c r="G29" i="40"/>
  <c r="F30" i="40"/>
  <c r="G30" i="40"/>
  <c r="F31" i="40"/>
  <c r="G31" i="40"/>
  <c r="F32" i="40"/>
  <c r="G32" i="40"/>
  <c r="F33" i="40"/>
  <c r="G33" i="40"/>
  <c r="F34" i="40"/>
  <c r="G34" i="40"/>
  <c r="C13" i="35" l="1"/>
  <c r="R5" i="35"/>
  <c r="R4" i="35"/>
  <c r="E70" i="40" l="1"/>
  <c r="W5" i="35" s="1"/>
  <c r="D70" i="40"/>
  <c r="D71" i="40" s="1"/>
  <c r="W4" i="35" s="1"/>
  <c r="G17" i="40"/>
  <c r="G18" i="40"/>
  <c r="G19" i="40"/>
  <c r="G20" i="40"/>
  <c r="G21" i="40"/>
  <c r="G22" i="40"/>
  <c r="G23" i="40"/>
  <c r="G24" i="40"/>
  <c r="G25" i="40"/>
  <c r="G35" i="40"/>
  <c r="G37" i="40"/>
  <c r="G38" i="40"/>
  <c r="G39" i="40"/>
  <c r="G40" i="40"/>
  <c r="G41" i="40"/>
  <c r="G42" i="40"/>
  <c r="G43" i="40"/>
  <c r="G44" i="40"/>
  <c r="G45" i="40"/>
  <c r="G46" i="40"/>
  <c r="G47" i="40"/>
  <c r="G48" i="40"/>
  <c r="G49" i="40"/>
  <c r="G50" i="40"/>
  <c r="G51" i="40"/>
  <c r="G52" i="40"/>
  <c r="G53" i="40"/>
  <c r="G54" i="40"/>
  <c r="G55" i="40"/>
  <c r="G56" i="40"/>
  <c r="G57" i="40"/>
  <c r="G58" i="40"/>
  <c r="G59" i="40"/>
  <c r="G60" i="40"/>
  <c r="G61" i="40"/>
  <c r="G62" i="40"/>
  <c r="G63" i="40"/>
  <c r="G64" i="40"/>
  <c r="G65" i="40"/>
  <c r="G16" i="40"/>
  <c r="F16" i="40"/>
  <c r="F47" i="40"/>
  <c r="S5" i="35"/>
  <c r="S4" i="35"/>
  <c r="F17" i="40" l="1"/>
  <c r="F18" i="40"/>
  <c r="F19" i="40"/>
  <c r="F20" i="40"/>
  <c r="F21" i="40"/>
  <c r="F22" i="40"/>
  <c r="F23" i="40"/>
  <c r="F24" i="40"/>
  <c r="F25" i="40"/>
  <c r="F35" i="40"/>
  <c r="F37" i="40"/>
  <c r="F38" i="40"/>
  <c r="F39" i="40"/>
  <c r="F40" i="40"/>
  <c r="F41" i="40"/>
  <c r="F42" i="40"/>
  <c r="F43" i="40"/>
  <c r="F44" i="40"/>
  <c r="F45" i="40"/>
  <c r="F46" i="40"/>
  <c r="F48" i="40"/>
  <c r="F49" i="40"/>
  <c r="F50" i="40"/>
  <c r="F51" i="40"/>
  <c r="F52" i="40"/>
  <c r="F53" i="40"/>
  <c r="F54" i="40"/>
  <c r="F55" i="40"/>
  <c r="F56" i="40"/>
  <c r="F57" i="40"/>
  <c r="F58" i="40"/>
  <c r="F59" i="40"/>
  <c r="F60" i="40"/>
  <c r="F61" i="40"/>
  <c r="F62" i="40"/>
  <c r="F63" i="40"/>
  <c r="F64" i="40"/>
  <c r="F65" i="40"/>
  <c r="D69" i="40" l="1"/>
  <c r="E67" i="40"/>
  <c r="E68" i="40" l="1"/>
  <c r="E69" i="40"/>
  <c r="T5" i="35" s="1"/>
  <c r="U5" i="35" s="1"/>
  <c r="T4" i="35"/>
  <c r="U4" i="35" s="1"/>
  <c r="V5" i="35"/>
  <c r="D68" i="40"/>
  <c r="V4" i="35" s="1"/>
  <c r="H16" i="35" l="1"/>
  <c r="H59" i="35" l="1"/>
  <c r="H49" i="35"/>
  <c r="C9" i="35" l="1"/>
  <c r="E15" i="35"/>
  <c r="F15" i="35"/>
  <c r="G15" i="35"/>
  <c r="H15" i="35"/>
  <c r="D24" i="35"/>
  <c r="D3" i="35"/>
  <c r="G16" i="35" l="1"/>
  <c r="G59" i="35" s="1"/>
  <c r="F12" i="35"/>
  <c r="E12" i="35"/>
  <c r="E16" i="35" s="1"/>
  <c r="C55" i="35"/>
  <c r="C65" i="35"/>
  <c r="F16" i="35"/>
  <c r="D5" i="35"/>
  <c r="H5" i="35"/>
  <c r="F5" i="35"/>
  <c r="E5" i="35"/>
  <c r="G5" i="35"/>
  <c r="E24" i="35"/>
  <c r="G24" i="35"/>
  <c r="H24" i="35"/>
  <c r="G49" i="35" l="1"/>
  <c r="C12" i="35"/>
  <c r="H50" i="35"/>
  <c r="H51" i="35" s="1"/>
  <c r="H60" i="35"/>
  <c r="H61" i="35" s="1"/>
  <c r="G50" i="35"/>
  <c r="G51" i="35" s="1"/>
  <c r="G60" i="35"/>
  <c r="G61" i="35" s="1"/>
  <c r="F49" i="35"/>
  <c r="F50" i="35" s="1"/>
  <c r="F51" i="35" s="1"/>
  <c r="F59" i="35"/>
  <c r="F60" i="35" s="1"/>
  <c r="F61" i="35" s="1"/>
  <c r="E59" i="35"/>
  <c r="E60" i="35" s="1"/>
  <c r="E61" i="35" s="1"/>
  <c r="E49" i="35"/>
  <c r="E50" i="35" s="1"/>
  <c r="E51" i="35" s="1"/>
  <c r="C24" i="35"/>
  <c r="C21" i="35"/>
  <c r="D37" i="35"/>
  <c r="C14" i="35" l="1"/>
  <c r="D16" i="35"/>
  <c r="D26" i="35" s="1"/>
  <c r="G37" i="35"/>
  <c r="G26" i="35" s="1"/>
  <c r="G27" i="35" s="1"/>
  <c r="G28" i="35" s="1"/>
  <c r="F37" i="35"/>
  <c r="F26" i="35" s="1"/>
  <c r="F27" i="35" s="1"/>
  <c r="F28" i="35" s="1"/>
  <c r="E37" i="35"/>
  <c r="E26" i="35" s="1"/>
  <c r="E27" i="35" s="1"/>
  <c r="E28" i="35" s="1"/>
  <c r="H37" i="35"/>
  <c r="H26" i="35" s="1"/>
  <c r="H27" i="35" s="1"/>
  <c r="H28" i="35" s="1"/>
  <c r="C10" i="35"/>
  <c r="D59" i="35" l="1"/>
  <c r="D49" i="35"/>
  <c r="C16" i="35"/>
  <c r="C26" i="35"/>
  <c r="C27" i="35"/>
  <c r="C28" i="35" s="1"/>
  <c r="E42" i="35"/>
  <c r="F42" i="35"/>
  <c r="F44" i="35" s="1"/>
  <c r="F29" i="35" s="1"/>
  <c r="G42" i="35"/>
  <c r="H42" i="35"/>
  <c r="D42" i="35"/>
  <c r="D44" i="35" s="1"/>
  <c r="D29" i="35" s="1"/>
  <c r="C32" i="35"/>
  <c r="C25" i="35"/>
  <c r="C23" i="35"/>
  <c r="C20" i="35"/>
  <c r="C19" i="35"/>
  <c r="C18" i="35"/>
  <c r="C33" i="35" s="1"/>
  <c r="C22" i="35"/>
  <c r="C49" i="35" l="1"/>
  <c r="D50" i="35"/>
  <c r="C59" i="35"/>
  <c r="D60" i="35"/>
  <c r="D38" i="35"/>
  <c r="C60" i="35" l="1"/>
  <c r="C61" i="35" s="1"/>
  <c r="D61" i="35"/>
  <c r="C50" i="35"/>
  <c r="C51" i="35" s="1"/>
  <c r="D51" i="35"/>
  <c r="G38" i="35"/>
  <c r="G43" i="35" s="1"/>
  <c r="E38" i="35"/>
  <c r="E43" i="35" s="1"/>
  <c r="F38" i="35"/>
  <c r="F43" i="35" s="1"/>
  <c r="D43" i="35"/>
  <c r="H38" i="35"/>
  <c r="H43" i="35" s="1"/>
  <c r="G39" i="35" l="1"/>
  <c r="G41" i="35" s="1"/>
  <c r="G44" i="35" s="1"/>
  <c r="F39" i="35"/>
  <c r="F41" i="35" s="1"/>
  <c r="E39" i="35"/>
  <c r="E41" i="35" s="1"/>
  <c r="E44" i="35" s="1"/>
  <c r="D39" i="35"/>
  <c r="D41" i="35" s="1"/>
  <c r="H39" i="35"/>
  <c r="G29" i="35" l="1"/>
  <c r="E29" i="35"/>
  <c r="E52" i="35" s="1"/>
  <c r="H41" i="35"/>
  <c r="F62" i="35" l="1"/>
  <c r="F63" i="35" s="1"/>
  <c r="F64" i="35" s="1"/>
  <c r="F52" i="35"/>
  <c r="F53" i="35" s="1"/>
  <c r="F54" i="35" s="1"/>
  <c r="E62" i="35"/>
  <c r="E63" i="35" s="1"/>
  <c r="E64" i="35" s="1"/>
  <c r="E53" i="35"/>
  <c r="E54" i="35" s="1"/>
  <c r="G52" i="35"/>
  <c r="G53" i="35" s="1"/>
  <c r="G54" i="35" s="1"/>
  <c r="G62" i="35"/>
  <c r="G63" i="35" s="1"/>
  <c r="G64" i="35" s="1"/>
  <c r="D62" i="35"/>
  <c r="D52" i="35"/>
  <c r="D53" i="35" s="1"/>
  <c r="D54" i="35" s="1"/>
  <c r="D30" i="35"/>
  <c r="D31" i="35" s="1"/>
  <c r="H44" i="35"/>
  <c r="H29" i="35" s="1"/>
  <c r="E30" i="35"/>
  <c r="E31" i="35" s="1"/>
  <c r="F30" i="35"/>
  <c r="F31" i="35" s="1"/>
  <c r="G30" i="35"/>
  <c r="G31" i="35" s="1"/>
  <c r="H62" i="35" l="1"/>
  <c r="H63" i="35" s="1"/>
  <c r="H64" i="35" s="1"/>
  <c r="H52" i="35"/>
  <c r="H53" i="35" s="1"/>
  <c r="H54" i="35" s="1"/>
  <c r="D63" i="35"/>
  <c r="D64" i="35" s="1"/>
  <c r="C29" i="35"/>
  <c r="H30" i="35"/>
  <c r="H31" i="35" s="1"/>
  <c r="C30" i="35" l="1"/>
  <c r="C31" i="35" s="1"/>
  <c r="C62" i="35"/>
  <c r="C52" i="35"/>
  <c r="C53" i="35" l="1"/>
  <c r="C63" i="35"/>
  <c r="C64" i="35" l="1"/>
  <c r="C54"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tc={1F023206-D2C5-40D3-ACB2-BC9D9E26D9F9}</author>
    <author>tc={F5FDC222-C419-499F-B796-EA266DF729C5}</author>
  </authors>
  <commentList>
    <comment ref="B21" authorId="0" shapeId="0" xr:uid="{1F023206-D2C5-40D3-ACB2-BC9D9E26D9F9}">
      <text>
        <t>[Threaded comment]
Your version of Excel allows you to read this threaded comment; however, any edits to it will get removed if the file is opened in a newer version of Excel. Learn more: https://go.microsoft.com/fwlink/?linkid=870924
Comment:
    eg:AA1000 logo fee</t>
      </text>
    </comment>
    <comment ref="B25" authorId="1" shapeId="0" xr:uid="{F5FDC222-C419-499F-B796-EA266DF729C5}">
      <text>
        <t>[Threaded comment]
Your version of Excel allows you to read this threaded comment; however, any edits to it will get removed if the file is opened in a newer version of Excel. Learn more: https://go.microsoft.com/fwlink/?linkid=870924
Comment:
    travel cost for sales person etc...</t>
      </text>
    </comment>
  </commentList>
</comments>
</file>

<file path=xl/sharedStrings.xml><?xml version="1.0" encoding="utf-8"?>
<sst xmlns="http://schemas.openxmlformats.org/spreadsheetml/2006/main" count="478" uniqueCount="314">
  <si>
    <t>Pre Calculation Sheet</t>
  </si>
  <si>
    <t>Purpose of the sheet:</t>
  </si>
  <si>
    <t>This template is used in quotation phase, for pre-calculation of order profitability to support decision making on acquiring of project.</t>
  </si>
  <si>
    <t>Before signing contract, if final order amount is changed to initial approved quotation, pre-calculation needs to be updated.</t>
  </si>
  <si>
    <r>
      <t xml:space="preserve">For each order &gt;= </t>
    </r>
    <r>
      <rPr>
        <sz val="11"/>
        <color rgb="FFFF0000"/>
        <rFont val="Arial"/>
        <family val="2"/>
      </rPr>
      <t>25KEUR (175KCNY/200KHKD/750KTWD)</t>
    </r>
    <r>
      <rPr>
        <sz val="11"/>
        <color theme="1"/>
        <rFont val="Arial"/>
        <family val="2"/>
      </rPr>
      <t xml:space="preserve">, pre-calculation sheet has to be prepared. 
</t>
    </r>
    <r>
      <rPr>
        <sz val="11"/>
        <color rgb="FFFF0000"/>
        <rFont val="Arial"/>
        <family val="2"/>
      </rPr>
      <t>For MHS&amp;SMN,</t>
    </r>
    <r>
      <rPr>
        <sz val="11"/>
        <color theme="1"/>
        <rFont val="Arial"/>
        <family val="2"/>
      </rPr>
      <t xml:space="preserve"> </t>
    </r>
    <r>
      <rPr>
        <sz val="11"/>
        <color rgb="FFFF0000"/>
        <rFont val="Arial"/>
        <family val="2"/>
      </rPr>
      <t xml:space="preserve">each order &gt;= 50KEUR (350KCNY/400KHKD/1500KTWD), pre-calculation sheet has to be prepared. </t>
    </r>
    <r>
      <rPr>
        <sz val="11"/>
        <color theme="1"/>
        <rFont val="Arial"/>
        <family val="2"/>
      </rPr>
      <t xml:space="preserve">
</t>
    </r>
  </si>
  <si>
    <t>1)</t>
  </si>
  <si>
    <t>Instruction for departments</t>
  </si>
  <si>
    <r>
      <t>Sheets for department input: "</t>
    </r>
    <r>
      <rPr>
        <b/>
        <u/>
        <sz val="11"/>
        <color indexed="8"/>
        <rFont val="Arial"/>
        <family val="2"/>
      </rPr>
      <t>Project info</t>
    </r>
    <r>
      <rPr>
        <u/>
        <sz val="11"/>
        <color indexed="8"/>
        <rFont val="Arial"/>
        <family val="2"/>
      </rPr>
      <t>" ,</t>
    </r>
    <r>
      <rPr>
        <b/>
        <u/>
        <sz val="11"/>
        <color rgb="FF000000"/>
        <rFont val="Arial"/>
        <family val="2"/>
      </rPr>
      <t xml:space="preserve"> "Project cost"</t>
    </r>
    <r>
      <rPr>
        <u/>
        <sz val="11"/>
        <color indexed="8"/>
        <rFont val="Arial"/>
        <family val="2"/>
      </rPr>
      <t xml:space="preserve"> and </t>
    </r>
    <r>
      <rPr>
        <b/>
        <u/>
        <sz val="11"/>
        <color rgb="FFFF0000"/>
        <rFont val="Arial"/>
        <family val="2"/>
      </rPr>
      <t>“Lab cost“</t>
    </r>
  </si>
  <si>
    <t>Blue fields to be input</t>
  </si>
  <si>
    <t>Project info</t>
  </si>
  <si>
    <t>Profit Center and Quotation Price are MUST for input</t>
  </si>
  <si>
    <t>Project cost - Production cost from own staff</t>
  </si>
  <si>
    <t>It's calculated based on own staff working hour * hourly cost rate</t>
  </si>
  <si>
    <t xml:space="preserve">Normally, Hourly cost rate is defined as one average rate per profit center and is based on annual Budget. </t>
  </si>
  <si>
    <t>Exception: for certain business unit, like IS, Hourly cost rate is defined as per business line (so called 'skillgroup' in SAP)</t>
  </si>
  <si>
    <r>
      <rPr>
        <b/>
        <sz val="11"/>
        <color indexed="10"/>
        <rFont val="Arial"/>
        <family val="2"/>
      </rPr>
      <t>Attention</t>
    </r>
    <r>
      <rPr>
        <sz val="11"/>
        <color indexed="10"/>
        <rFont val="Arial"/>
        <family val="2"/>
      </rPr>
      <t xml:space="preserve">: </t>
    </r>
    <r>
      <rPr>
        <sz val="11"/>
        <color indexed="8"/>
        <rFont val="Arial"/>
        <family val="2"/>
      </rPr>
      <t>if manager concerns about the reasonability of hourly cost rate based on Budget, pls discuss with Controlling</t>
    </r>
  </si>
  <si>
    <t>Project info - Cost from subcontracting (3rd party or IC office)</t>
  </si>
  <si>
    <r>
      <t xml:space="preserve">If one project is handled by more than one GCN office, pre-calculation from intra office(s) for IC subcontracting cost above </t>
    </r>
    <r>
      <rPr>
        <sz val="11"/>
        <color rgb="FFFF0000"/>
        <rFont val="Arial"/>
        <family val="2"/>
      </rPr>
      <t xml:space="preserve">25KEUR </t>
    </r>
  </si>
  <si>
    <t xml:space="preserve">is also to be provided. </t>
  </si>
  <si>
    <t xml:space="preserve">Example: one IS order is signed in GZ office, but subcontracted to BJ office with subcontracting cost above 25KEUR. Pre-calculation </t>
  </si>
  <si>
    <t>sheet for IC order in BJ office is needed. Controller will combine pre-calculation in two offices for review of margin at GCN level.</t>
  </si>
  <si>
    <t>Project cost - Cost from internal subcontract to other departments</t>
  </si>
  <si>
    <t>When an order is to be internally subcontracted to other departments, it could be charged either on hour or fixed price. For cases of charged on hour, Manager must list out the cost center, the cost would be calculated on hourly cost rate and number of hour. There would be possible an order is charged on hour and fixed price at the same time.
For work that will be internally subcontracted to lab, such as EMC or BAT lab, and will be charged by hour. Please input plan hours in the sheet of "Lab cost", and the cost will be automatically link back to "Project cost" column 118</t>
  </si>
  <si>
    <t>Project cost -  Allocation cost simulation</t>
  </si>
  <si>
    <t>Any sales recognized from one order will be allocated by related cost in one profit center. There are two ways to calculate allocation costs:
PA report, Allocation cost by hour = Own staff working hour * Hourly allocation cost rate
PCA report, Allocation cost by sales = Total sales * Planned ratio of allocation cost / Total sales. 
Allocation cost simulation is used to add the GAP if allocation cost by hour is less than allocation cost by sales. If allocation cost by hour (total project) &gt; = allocation cost by sales, allocation cost simulation = 0; If allocation cost by hour &lt; allocation cost by sales, allocation cost simulation = GAP.
Allocation cost simulation is calculated by order level in this template and allocated to product/item level based on sales, as there might be both positive and negative simulation in that level but can be offset in order level.</t>
  </si>
  <si>
    <t>P&amp;L Summary - Signature</t>
  </si>
  <si>
    <t>Signature and approval is needed according to value and approval limits per each management level.</t>
  </si>
  <si>
    <t>2)</t>
  </si>
  <si>
    <t>Instruction for controllers</t>
  </si>
  <si>
    <t>Sheets for controller input: "Controlling DataInput"</t>
  </si>
  <si>
    <t>needs be updated for each office, according to Budget of corresponding year, deletion or adding is not preferred. Otherwise, formula in other sheets needs to be reset.</t>
  </si>
  <si>
    <t>Sheets for controller input: "Lab cost database"</t>
  </si>
  <si>
    <t>Please update or add new machine rate or hourly rate in "Lab cost database" when needed, data in "Lab cost" will automatically refreshed.</t>
  </si>
  <si>
    <t>Please input the light blue area</t>
  </si>
  <si>
    <t>Sales Revenue by Category</t>
  </si>
  <si>
    <t>Sales Revenue</t>
  </si>
  <si>
    <t>Category</t>
  </si>
  <si>
    <t>WRAP</t>
  </si>
  <si>
    <t>CSR</t>
  </si>
  <si>
    <t>SA8000</t>
  </si>
  <si>
    <t>BSCI</t>
  </si>
  <si>
    <t>CoC</t>
  </si>
  <si>
    <t>SEDEX</t>
  </si>
  <si>
    <t>RBA</t>
  </si>
  <si>
    <t>ESG</t>
  </si>
  <si>
    <t>CDP</t>
  </si>
  <si>
    <t>GRS</t>
  </si>
  <si>
    <t>ASI</t>
  </si>
  <si>
    <t>BEPI</t>
  </si>
  <si>
    <t>RSCI</t>
  </si>
  <si>
    <t>BL</t>
  </si>
  <si>
    <t>Center</t>
  </si>
  <si>
    <t>Hourly Rate in CNY</t>
  </si>
  <si>
    <t>Margin%</t>
  </si>
  <si>
    <t>Alternative allocation cost  / Total Costs</t>
  </si>
  <si>
    <t>Hourly Rates / Allocation Costs</t>
  </si>
  <si>
    <t>Alternative allocation cost  / Ext. sales</t>
  </si>
  <si>
    <t>Alternative allocation cost  / IC sales</t>
  </si>
  <si>
    <t>Customer Name</t>
  </si>
  <si>
    <t>Service</t>
  </si>
  <si>
    <t>MD Rate in CNY</t>
  </si>
  <si>
    <t>MD Rates / Allocation Costs</t>
  </si>
  <si>
    <t>Alternative allocation cost  / Total sales</t>
  </si>
  <si>
    <t>4820</t>
  </si>
  <si>
    <t>Product 5</t>
  </si>
  <si>
    <t>1350</t>
  </si>
  <si>
    <t>Service/Product (Description)</t>
  </si>
  <si>
    <t>1351</t>
  </si>
  <si>
    <t>Order Value</t>
  </si>
  <si>
    <t>1800</t>
  </si>
  <si>
    <t>2160</t>
  </si>
  <si>
    <t>4830</t>
  </si>
  <si>
    <t>4840</t>
  </si>
  <si>
    <t>4850</t>
  </si>
  <si>
    <t>Total MD</t>
  </si>
  <si>
    <t>Hours</t>
  </si>
  <si>
    <t>-</t>
  </si>
  <si>
    <t>Subcontracting ext.-翻译费</t>
  </si>
  <si>
    <t>Subcontracting ext.-设计费</t>
  </si>
  <si>
    <t>Subcontracting ext.-差旅费</t>
  </si>
  <si>
    <t>Subcontracting ext.-Other</t>
  </si>
  <si>
    <t>internal subcon</t>
  </si>
  <si>
    <t>Net Sales</t>
  </si>
  <si>
    <t>MD Costs</t>
  </si>
  <si>
    <t>Overhead</t>
  </si>
  <si>
    <t>Other project related costs</t>
  </si>
  <si>
    <t>Operating Result</t>
  </si>
  <si>
    <t>Operating Margin</t>
  </si>
  <si>
    <t>Planned OR/Sales</t>
  </si>
  <si>
    <t>Profit Center</t>
  </si>
  <si>
    <t>Subcontracting IC</t>
  </si>
  <si>
    <t>Hourly Rate</t>
  </si>
  <si>
    <t>Allocation cost / Ext. sales</t>
  </si>
  <si>
    <t>Allocation cost / IC. sales</t>
  </si>
  <si>
    <t>Allocation costs by hour</t>
  </si>
  <si>
    <t>Allocation cost simulation</t>
  </si>
  <si>
    <t>Sales</t>
  </si>
  <si>
    <t>Ext. Sales</t>
  </si>
  <si>
    <t>IC Sales</t>
  </si>
  <si>
    <t>CtC (POC)</t>
  </si>
  <si>
    <t>Subcontracting</t>
  </si>
  <si>
    <t>Subcontracting ext.</t>
  </si>
  <si>
    <t>Computer Costs</t>
  </si>
  <si>
    <t>Professional fees</t>
  </si>
  <si>
    <t>Service Accounting/Procurement</t>
  </si>
  <si>
    <t>Marketing</t>
  </si>
  <si>
    <t>Consulting / Insurance</t>
  </si>
  <si>
    <t>Management fee</t>
  </si>
  <si>
    <t>Charging/Assessment</t>
  </si>
  <si>
    <t>Nonproductive Services</t>
  </si>
  <si>
    <t>Assessment</t>
  </si>
  <si>
    <t>Total Costs</t>
  </si>
  <si>
    <t>Remark</t>
  </si>
  <si>
    <t>Activity Type</t>
  </si>
  <si>
    <t>TUEV/43900000</t>
  </si>
  <si>
    <t>Other Charges</t>
  </si>
  <si>
    <t>ext. sales</t>
  </si>
  <si>
    <t>C03 P&amp;L complete</t>
  </si>
  <si>
    <t>Profit Center Hierarchy</t>
  </si>
  <si>
    <t>Target currency</t>
  </si>
  <si>
    <t>Date for currency conversion</t>
  </si>
  <si>
    <t>Scale factor</t>
  </si>
  <si>
    <t>1</t>
  </si>
  <si>
    <t>Dynamic Filters</t>
  </si>
  <si>
    <t>Time scale</t>
  </si>
  <si>
    <t>P&amp;L Key figures</t>
  </si>
  <si>
    <t>BEx Web - C03 P&amp;L complete</t>
  </si>
  <si>
    <t>HK PS CPS AUD</t>
  </si>
  <si>
    <t>PSB Electr. PS AUD</t>
  </si>
  <si>
    <t>SHG PS CPS AUD</t>
  </si>
  <si>
    <t>BJS PS CPS AUD</t>
  </si>
  <si>
    <t>CAN PS CPS AUD</t>
  </si>
  <si>
    <t>SHZ PS CPS AUD</t>
  </si>
  <si>
    <t>TUEV/49993409</t>
  </si>
  <si>
    <t>IT - SAP costs IC</t>
  </si>
  <si>
    <t>TUEV/49993509</t>
  </si>
  <si>
    <t>IT - App. DV PS IC</t>
  </si>
  <si>
    <t>TUEV/91015010</t>
  </si>
  <si>
    <t>Assessment IT</t>
  </si>
  <si>
    <t>TUEV/42213000</t>
  </si>
  <si>
    <t>Professional Fee</t>
  </si>
  <si>
    <t>TUEV/49998009</t>
  </si>
  <si>
    <t>BU/BL costs</t>
  </si>
  <si>
    <t>TUEV/91015090</t>
  </si>
  <si>
    <t>Assessment Accountin</t>
  </si>
  <si>
    <t>TUEV/49600700</t>
  </si>
  <si>
    <t>Website and Intranet</t>
  </si>
  <si>
    <t>TUEV/49601300</t>
  </si>
  <si>
    <t>Offline trade fairs</t>
  </si>
  <si>
    <t>TUEV/49992309</t>
  </si>
  <si>
    <t>Services Marketing</t>
  </si>
  <si>
    <t>TUEV/91015040</t>
  </si>
  <si>
    <t>Assessment Marketing</t>
  </si>
  <si>
    <t>TUEV/91351007</t>
  </si>
  <si>
    <t>TUEV/45200000</t>
  </si>
  <si>
    <t>Liability Insurance</t>
  </si>
  <si>
    <t>TUEV/49994009</t>
  </si>
  <si>
    <t>Holding Fee China</t>
  </si>
  <si>
    <t>TUEV/49994109</t>
  </si>
  <si>
    <t>Service charge CSPF</t>
  </si>
  <si>
    <t>TUEV/49995109</t>
  </si>
  <si>
    <t>Charg division costs</t>
  </si>
  <si>
    <t>TUEV/49997109</t>
  </si>
  <si>
    <t>Services Region</t>
  </si>
  <si>
    <t>TUEV/49999009</t>
  </si>
  <si>
    <t>Management fee AG</t>
  </si>
  <si>
    <t>TUEV/91011040</t>
  </si>
  <si>
    <t>Assessm. Controlling</t>
  </si>
  <si>
    <t>TUEV/91011050</t>
  </si>
  <si>
    <t>Management (CEO)</t>
  </si>
  <si>
    <t>TUEV/91110031</t>
  </si>
  <si>
    <t>Assessment Procureme</t>
  </si>
  <si>
    <t>TUEV/91351000</t>
  </si>
  <si>
    <t>Assessment General</t>
  </si>
  <si>
    <t>TUEV/91351001</t>
  </si>
  <si>
    <t>Assessment CEO/ADM</t>
  </si>
  <si>
    <t>TUEV/91351008</t>
  </si>
  <si>
    <t>Assessment Cert</t>
  </si>
  <si>
    <t>TUEV/91351011</t>
  </si>
  <si>
    <t>Assessment Admin Sup</t>
  </si>
  <si>
    <t>TUEV/91351017</t>
  </si>
  <si>
    <t>Assessment Sales</t>
  </si>
  <si>
    <t>Alternative allocation cost</t>
  </si>
  <si>
    <t>Alternative allocation cost - related to IC sales</t>
  </si>
  <si>
    <t>Alternative allocation cost  /IC. sales</t>
  </si>
  <si>
    <t>Accounting Service</t>
  </si>
  <si>
    <t>HKD</t>
  </si>
  <si>
    <t>CNY</t>
  </si>
  <si>
    <t>Skillgroup</t>
  </si>
  <si>
    <t>T01AST</t>
  </si>
  <si>
    <t>18001350</t>
  </si>
  <si>
    <t>21601350</t>
  </si>
  <si>
    <t>48201222</t>
  </si>
  <si>
    <t>48201350</t>
  </si>
  <si>
    <t>48301350</t>
  </si>
  <si>
    <t>48401350</t>
  </si>
  <si>
    <t>Data source: Account codes to be exacted from BW report-P&amp;L-C00 P&amp;L</t>
  </si>
  <si>
    <t>Items</t>
  </si>
  <si>
    <t>Account</t>
  </si>
  <si>
    <t>Account code</t>
  </si>
  <si>
    <t>Description</t>
  </si>
  <si>
    <t>Prorata</t>
  </si>
  <si>
    <t>Accounting</t>
  </si>
  <si>
    <t>total sales</t>
  </si>
  <si>
    <t>new GL account</t>
  </si>
  <si>
    <t>TUEV/49994008</t>
  </si>
  <si>
    <t>Service charges CN</t>
  </si>
  <si>
    <t>new add in 2019</t>
  </si>
  <si>
    <t>TUEV/49995009</t>
  </si>
  <si>
    <t>Services divisions</t>
  </si>
  <si>
    <t>Division costs</t>
  </si>
  <si>
    <t>TUEV/49997009</t>
  </si>
  <si>
    <t>TUEV/49997108</t>
  </si>
  <si>
    <t>Controlling</t>
  </si>
  <si>
    <t>General Costs</t>
  </si>
  <si>
    <t>net. Sales</t>
  </si>
  <si>
    <t>CEO/ADM</t>
  </si>
  <si>
    <t>Procurement</t>
  </si>
  <si>
    <t>Certification</t>
  </si>
  <si>
    <t>Computer cost</t>
  </si>
  <si>
    <t>IT opex</t>
  </si>
  <si>
    <t>new add in 2020</t>
  </si>
  <si>
    <t>Service Accounting</t>
  </si>
  <si>
    <t>TUEV/49991009</t>
  </si>
  <si>
    <t>new add in 2022</t>
  </si>
  <si>
    <t>Service Procurement</t>
  </si>
  <si>
    <t>TUEV/49991609</t>
  </si>
  <si>
    <t>new add in 2023</t>
  </si>
  <si>
    <t>SHG PS CPS HDL eCom</t>
  </si>
  <si>
    <t>BL Greater China</t>
  </si>
  <si>
    <t>Order create Center</t>
  </si>
  <si>
    <t>IC Subcon Rate</t>
  </si>
  <si>
    <t>Allocation cost by Ext. sales</t>
  </si>
  <si>
    <t>Allocation cost by IC sales</t>
  </si>
  <si>
    <t>报告</t>
  </si>
  <si>
    <t>鉴证</t>
  </si>
  <si>
    <t>咨询</t>
  </si>
  <si>
    <t>审核</t>
  </si>
  <si>
    <t>MD for Quotation Phase</t>
  </si>
  <si>
    <t>同个office给其他部门的分包，包括CSR部门</t>
  </si>
  <si>
    <t>给其他office的分包</t>
  </si>
  <si>
    <t>OR%</t>
  </si>
  <si>
    <t>Assessment Legal</t>
  </si>
  <si>
    <t>TUEV/91351002</t>
  </si>
  <si>
    <t>Professional fees; Service Accounting/Procurement; Marketing; Management fee;
Charging/Assessment; Sales; Consulting / Insurance; Total Costs; Computer Costs;
Subcontracting; OR%</t>
  </si>
  <si>
    <t>16
 Budget  
 2025
(2024); !17
 Budget  
 2025
(2023)</t>
  </si>
  <si>
    <t>31.12.2025</t>
  </si>
  <si>
    <t>CNY CNY</t>
  </si>
  <si>
    <t>0001PS-ESG-GC PS-ESG-GC</t>
  </si>
  <si>
    <t>0001PS-AUD-GC</t>
  </si>
  <si>
    <t>0001PS-ESG-GC</t>
  </si>
  <si>
    <t>0001PS-CSR-GC</t>
  </si>
  <si>
    <t>PS AUD China op.</t>
  </si>
  <si>
    <t>PS-ESG-GC</t>
  </si>
  <si>
    <t>PS-CSR-GC</t>
  </si>
  <si>
    <t>Version: V202501</t>
  </si>
  <si>
    <t>0485/#</t>
  </si>
  <si>
    <t>48501351</t>
  </si>
  <si>
    <t>48501350</t>
  </si>
  <si>
    <t>0484/#</t>
  </si>
  <si>
    <t>48401351</t>
  </si>
  <si>
    <t>0483/#</t>
  </si>
  <si>
    <t>48301351</t>
  </si>
  <si>
    <t>0482/#</t>
  </si>
  <si>
    <t>48201351</t>
  </si>
  <si>
    <t>0346/#</t>
  </si>
  <si>
    <t>GI PS CPS AUD</t>
  </si>
  <si>
    <t>34601350</t>
  </si>
  <si>
    <t>0216/#</t>
  </si>
  <si>
    <t>0180/#</t>
  </si>
  <si>
    <t>HK PS CPS AUD CSR</t>
  </si>
  <si>
    <t>18001351</t>
  </si>
  <si>
    <t>CtC</t>
  </si>
  <si>
    <t>Settlement
non-productive
(ZCOILV30)</t>
  </si>
  <si>
    <t>Settlement
Int. performance
(ZCOILV30)</t>
  </si>
  <si>
    <t>Settlement
Own work
(ZCOILV30)</t>
  </si>
  <si>
    <t>Local Currency</t>
  </si>
  <si>
    <t>09.04.2025 14:06:27</t>
  </si>
  <si>
    <t>Last Data Update</t>
  </si>
  <si>
    <t>0001PS-AUD-GC PS AUD China op.</t>
  </si>
  <si>
    <t>Profit Center Hierarchy Node</t>
  </si>
  <si>
    <t>BL Greater China (0001CN-GF-ALL)</t>
  </si>
  <si>
    <t>C83 Overview hourly rates</t>
  </si>
  <si>
    <t>BEx Web - ZKSTDSAETZE_01</t>
  </si>
  <si>
    <t>MD for Travel (20% of Quotation MD)</t>
  </si>
  <si>
    <t>Result of order (RO)</t>
  </si>
  <si>
    <t>RO-Margin %</t>
  </si>
  <si>
    <t>Settlement
(KP26 Version 0)
2026</t>
  </si>
  <si>
    <t>Calculation
(KP26 Version 1)
2026</t>
  </si>
  <si>
    <t>SHG PS CPS AUD CSR</t>
  </si>
  <si>
    <t>BJS PS CPS AUD CSR</t>
  </si>
  <si>
    <t>CAN PS CPS AUD CSR</t>
  </si>
  <si>
    <t>SHZ PS CPS AUD CSR</t>
  </si>
  <si>
    <t>16
 Budget  
 2026
(2025)</t>
  </si>
  <si>
    <t>IT Applications</t>
  </si>
  <si>
    <t>IT Consulting/Development</t>
  </si>
  <si>
    <t>IT Infrastructure</t>
  </si>
  <si>
    <t>IT Maintenance</t>
  </si>
  <si>
    <t>IT Training</t>
  </si>
  <si>
    <t>IT Allocation/Accumulation</t>
  </si>
  <si>
    <t>TUEV/42213009</t>
  </si>
  <si>
    <t>Additional Information</t>
  </si>
  <si>
    <t>with 70% Productivity</t>
  </si>
  <si>
    <t>with 80% Productivity</t>
  </si>
  <si>
    <t>Please give explanation below, if OR-Margin% is below 0% or below Planned margin of its profit center</t>
  </si>
  <si>
    <t>XXX</t>
  </si>
  <si>
    <t>供应链尽职调查</t>
  </si>
  <si>
    <t>Subcontracing/Sales</t>
  </si>
  <si>
    <t>MD for onsite</t>
    <phoneticPr fontId="25" type="noConversion"/>
  </si>
  <si>
    <t>MD for offsite</t>
    <phoneticPr fontId="25" type="noConversion"/>
  </si>
  <si>
    <t>现场人天</t>
    <phoneticPr fontId="25" type="noConversion"/>
  </si>
  <si>
    <t>非现场人天</t>
    <phoneticPr fontId="25" type="noConversion"/>
  </si>
  <si>
    <t>报价，销售活动，述标等报价相关MD，假定0.5 MD，可调整</t>
    <phoneticPr fontId="25" type="noConversion"/>
  </si>
  <si>
    <t>差旅时间，按照现场人天10%，可调整</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</si>
</sst>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76" formatCode="_ * #,##0.00_ ;_ * \-#,##0.00_ ;_ * &quot;-&quot;??_ ;_ @_ "/>
    <numFmt numFmtId="177" formatCode="_-* #,##0.00_-;\-* #,##0.00_-;_-* &quot;-&quot;??_-;_-@_-"/>
    <numFmt numFmtId="178" formatCode="_-* #,##0_-;\-* #,##0_-;_-* &quot;-&quot;??_-;_-@_-"/>
    <numFmt numFmtId="179" formatCode="0.0%"/>
    <numFmt numFmtId="180" formatCode="#,##0;\-#,##0;#,##0;@"/>
    <numFmt numFmtId="181" formatCode="_(* #,##0_);_(* \(#,##0\);_(* &quot;-&quot;??_);_(@_)"/>
    <numFmt numFmtId="182" formatCode="#,##0.00;\-#,##0.00;#,##0.00;@"/>
    <numFmt numFmtId="183" formatCode=";;"/>
    <numFmt numFmtId="184" formatCode="#,##0.00&quot; CNY&quot;;\-#,##0.00&quot; CNY&quot;;#,##0.00&quot; CNY&quot;;@"/>
    <numFmt numFmtId="185" formatCode="#,##0.00;\-#,##0.00;&quot;&quot;;@"/>
    <numFmt numFmtId="186" formatCode="#,##0.00&quot; HKD&quot;;\-#,##0.00&quot; HKD&quot;;#,##0.00&quot; HKD&quot;;@"/>
    <numFmt numFmtId="187" formatCode="#,##0;\-#,##0;&quot;&quot;;@"/>
  </numFmts>
  <fonts count="31" x14ac:knownFonts="1">
    <font>
      <sz val="11"/>
      <color theme="1"/>
      <name val="宋体"/>
      <family val="2"/>
      <scheme val="minor"/>
    </font>
    <font>
      <sz val="11"/>
      <color theme="1"/>
      <name val="宋体"/>
      <family val="2"/>
      <charset val="134"/>
      <scheme val="minor"/>
    </font>
    <font>
      <sz val="11"/>
      <color indexed="8"/>
      <name val="Arial"/>
      <family val="2"/>
    </font>
    <font>
      <u/>
      <sz val="11"/>
      <color indexed="8"/>
      <name val="Arial"/>
      <family val="2"/>
    </font>
    <font>
      <b/>
      <u/>
      <sz val="11"/>
      <color indexed="8"/>
      <name val="Arial"/>
      <family val="2"/>
    </font>
    <font>
      <b/>
      <sz val="11"/>
      <color indexed="10"/>
      <name val="Arial"/>
      <family val="2"/>
    </font>
    <font>
      <sz val="11"/>
      <color indexed="10"/>
      <name val="Arial"/>
      <family val="2"/>
    </font>
    <font>
      <sz val="11"/>
      <color theme="1"/>
      <name val="宋体"/>
      <family val="2"/>
      <scheme val="minor"/>
    </font>
    <font>
      <b/>
      <sz val="11"/>
      <color theme="1"/>
      <name val="Arial"/>
      <family val="2"/>
    </font>
    <font>
      <sz val="11"/>
      <color theme="1"/>
      <name val="Arial"/>
      <family val="2"/>
    </font>
    <font>
      <u/>
      <sz val="11"/>
      <color theme="1"/>
      <name val="Arial"/>
      <family val="2"/>
    </font>
    <font>
      <sz val="11"/>
      <color rgb="FFFF0000"/>
      <name val="Arial"/>
      <family val="2"/>
    </font>
    <font>
      <sz val="9"/>
      <color theme="1"/>
      <name val="Arial"/>
      <family val="2"/>
    </font>
    <font>
      <b/>
      <sz val="9"/>
      <color theme="1"/>
      <name val="Arial"/>
      <family val="2"/>
    </font>
    <font>
      <sz val="11"/>
      <name val="Arial"/>
      <family val="2"/>
    </font>
    <font>
      <b/>
      <sz val="12"/>
      <color rgb="FF000000"/>
      <name val="Arial"/>
      <family val="2"/>
    </font>
    <font>
      <sz val="8"/>
      <color rgb="FF000000"/>
      <name val="Arial"/>
      <family val="2"/>
    </font>
    <font>
      <b/>
      <sz val="8"/>
      <color rgb="FF000000"/>
      <name val="Arial"/>
      <family val="2"/>
    </font>
    <font>
      <sz val="9"/>
      <name val="Arial"/>
      <family val="2"/>
    </font>
    <font>
      <u/>
      <sz val="11"/>
      <color theme="10"/>
      <name val="宋体"/>
      <family val="2"/>
      <scheme val="minor"/>
    </font>
    <font>
      <b/>
      <sz val="11"/>
      <color theme="1"/>
      <name val="宋体"/>
      <family val="2"/>
      <scheme val="minor"/>
    </font>
    <font>
      <sz val="10"/>
      <name val="Arial"/>
      <family val="2"/>
    </font>
    <font>
      <u/>
      <sz val="11"/>
      <name val="Arial"/>
      <family val="2"/>
    </font>
    <font>
      <b/>
      <u/>
      <sz val="11"/>
      <color rgb="FF000000"/>
      <name val="Arial"/>
      <family val="2"/>
    </font>
    <font>
      <b/>
      <u/>
      <sz val="11"/>
      <color rgb="FFFF0000"/>
      <name val="Arial"/>
      <family val="2"/>
    </font>
    <font>
      <sz val="8"/>
      <name val="宋体"/>
      <family val="2"/>
      <scheme val="minor"/>
    </font>
    <font>
      <sz val="10"/>
      <color theme="1"/>
      <name val="宋体"/>
      <family val="2"/>
      <scheme val="minor"/>
    </font>
    <font>
      <b/>
      <sz val="9"/>
      <color theme="1"/>
      <name val="宋体"/>
      <family val="2"/>
      <scheme val="minor"/>
    </font>
    <font>
      <b/>
      <sz val="11"/>
      <color rgb="FFFF0000"/>
      <name val="Arial"/>
      <family val="2"/>
    </font>
    <font>
      <sz val="9"/>
      <name val="宋体"/>
      <family val="3"/>
      <charset val="134"/>
      <scheme val="minor"/>
    </font>
    <font>
      <sz val="11"/>
      <color theme="1"/>
      <name val="宋体"/>
      <family val="3"/>
      <charset val="134"/>
      <scheme val="minor"/>
    </font>
  </fonts>
  <fills count="13">
    <fill>
      <patternFill patternType="none"/>
    </fill>
    <fill>
      <patternFill patternType="gray125"/>
    </fill>
    <fill>
      <patternFill patternType="solid">
        <fgColor theme="3" tint="0.79998168889431442"/>
        <bgColor indexed="64"/>
      </patternFill>
    </fill>
    <fill>
      <patternFill patternType="solid">
        <fgColor rgb="FFC6C4C4"/>
        <bgColor indexed="64"/>
      </patternFill>
    </fill>
    <fill>
      <patternFill patternType="solid">
        <fgColor rgb="FFFFFF00"/>
        <bgColor indexed="64"/>
      </patternFill>
    </fill>
    <fill>
      <patternFill patternType="solid">
        <fgColor rgb="FFFFFFFF"/>
        <bgColor indexed="64"/>
      </patternFill>
    </fill>
    <fill>
      <patternFill patternType="solid">
        <fgColor rgb="FFB7CFE8"/>
        <bgColor indexed="64"/>
      </patternFill>
    </fill>
    <fill>
      <patternFill patternType="solid">
        <fgColor rgb="FFE9EEF4"/>
        <bgColor indexed="64"/>
      </patternFill>
    </fill>
    <fill>
      <patternFill patternType="solid">
        <fgColor rgb="FFD5E3F2"/>
        <bgColor indexed="64"/>
      </patternFill>
    </fill>
    <fill>
      <patternFill patternType="solid">
        <fgColor rgb="FFC3D6EB"/>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3" tint="0.79995117038483843"/>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rgb="FFAEAEAE"/>
      </left>
      <right style="medium">
        <color rgb="FFAEAEAE"/>
      </right>
      <top style="medium">
        <color rgb="FFAEAEAE"/>
      </top>
      <bottom style="medium">
        <color rgb="FFAEAEAE"/>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AEAEAE"/>
      </left>
      <right style="medium">
        <color rgb="FFAEAEAE"/>
      </right>
      <top style="medium">
        <color rgb="FFAEAEAE"/>
      </top>
      <bottom/>
      <diagonal/>
    </border>
    <border>
      <left style="medium">
        <color rgb="FFAEAEAE"/>
      </left>
      <right style="medium">
        <color rgb="FFAEAEAE"/>
      </right>
      <top/>
      <bottom style="medium">
        <color rgb="FFAEAEAE"/>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rgb="FFAEAEAE"/>
      </right>
      <top style="medium">
        <color rgb="FFAEAEAE"/>
      </top>
      <bottom style="medium">
        <color rgb="FFAEAEAE"/>
      </bottom>
      <diagonal/>
    </border>
    <border>
      <left style="medium">
        <color rgb="FFAEAEAE"/>
      </left>
      <right/>
      <top style="medium">
        <color rgb="FFAEAEAE"/>
      </top>
      <bottom style="medium">
        <color rgb="FFAEAEAE"/>
      </bottom>
      <diagonal/>
    </border>
    <border>
      <left style="thin">
        <color indexed="64"/>
      </left>
      <right style="thin">
        <color indexed="64"/>
      </right>
      <top style="medium">
        <color indexed="64"/>
      </top>
      <bottom style="medium">
        <color indexed="64"/>
      </bottom>
      <diagonal/>
    </border>
  </borders>
  <cellStyleXfs count="13">
    <xf numFmtId="0" fontId="0" fillId="0" borderId="0"/>
    <xf numFmtId="177" fontId="7" fillId="0" borderId="0" applyFont="0" applyFill="0" applyBorder="0" applyAlignment="0" applyProtection="0"/>
    <xf numFmtId="9" fontId="7" fillId="0" borderId="0" applyFont="0" applyFill="0" applyBorder="0" applyAlignment="0" applyProtection="0"/>
    <xf numFmtId="0" fontId="1" fillId="0" borderId="0"/>
    <xf numFmtId="176" fontId="1" fillId="0" borderId="0" applyFont="0" applyFill="0" applyBorder="0" applyAlignment="0" applyProtection="0"/>
    <xf numFmtId="0" fontId="7" fillId="0" borderId="0"/>
    <xf numFmtId="177" fontId="7" fillId="0" borderId="0" applyFont="0" applyFill="0" applyBorder="0" applyAlignment="0" applyProtection="0"/>
    <xf numFmtId="43" fontId="7" fillId="0" borderId="0" applyFont="0" applyFill="0" applyBorder="0" applyAlignment="0" applyProtection="0"/>
    <xf numFmtId="177" fontId="7" fillId="0" borderId="0" applyFont="0" applyFill="0" applyBorder="0" applyAlignment="0" applyProtection="0"/>
    <xf numFmtId="0" fontId="19" fillId="0" borderId="0" applyNumberFormat="0" applyFill="0" applyBorder="0" applyAlignment="0" applyProtection="0"/>
    <xf numFmtId="0" fontId="21" fillId="0" borderId="0"/>
    <xf numFmtId="0" fontId="21" fillId="0" borderId="0"/>
    <xf numFmtId="0" fontId="1" fillId="0" borderId="0">
      <alignment vertical="center"/>
    </xf>
  </cellStyleXfs>
  <cellXfs count="186">
    <xf numFmtId="0" fontId="0" fillId="0" borderId="0" xfId="0"/>
    <xf numFmtId="0" fontId="8" fillId="0" borderId="0" xfId="0" applyFont="1"/>
    <xf numFmtId="0" fontId="9" fillId="0" borderId="0" xfId="0" applyFont="1"/>
    <xf numFmtId="0" fontId="9" fillId="0" borderId="0" xfId="0" applyFont="1" applyAlignment="1">
      <alignment vertical="center"/>
    </xf>
    <xf numFmtId="0" fontId="8"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0" borderId="4" xfId="0" applyFont="1" applyBorder="1"/>
    <xf numFmtId="0" fontId="9" fillId="0" borderId="5" xfId="0" applyFont="1" applyBorder="1"/>
    <xf numFmtId="0" fontId="9" fillId="0" borderId="0" xfId="0" applyFont="1" applyAlignment="1">
      <alignment horizontal="left" wrapText="1"/>
    </xf>
    <xf numFmtId="0" fontId="10" fillId="0" borderId="1" xfId="0" applyFont="1" applyBorder="1"/>
    <xf numFmtId="0" fontId="9" fillId="0" borderId="2" xfId="0" applyFont="1" applyBorder="1"/>
    <xf numFmtId="0" fontId="9" fillId="0" borderId="3" xfId="0" applyFont="1" applyBorder="1"/>
    <xf numFmtId="0" fontId="8" fillId="0" borderId="6" xfId="0" applyFont="1" applyBorder="1"/>
    <xf numFmtId="0" fontId="9" fillId="2" borderId="7" xfId="0" applyFont="1" applyFill="1" applyBorder="1"/>
    <xf numFmtId="0" fontId="9" fillId="0" borderId="7" xfId="0" applyFont="1" applyBorder="1"/>
    <xf numFmtId="0" fontId="9" fillId="0" borderId="8" xfId="0" applyFont="1" applyBorder="1"/>
    <xf numFmtId="0" fontId="9" fillId="0" borderId="6" xfId="0" applyFont="1" applyBorder="1"/>
    <xf numFmtId="0" fontId="10" fillId="0" borderId="4" xfId="0" applyFont="1" applyBorder="1"/>
    <xf numFmtId="0" fontId="8" fillId="0" borderId="0" xfId="0" applyFont="1" applyAlignment="1">
      <alignment horizontal="right" wrapText="1"/>
    </xf>
    <xf numFmtId="0" fontId="8" fillId="0" borderId="4" xfId="0" applyFont="1" applyBorder="1" applyAlignment="1">
      <alignment horizontal="left"/>
    </xf>
    <xf numFmtId="0" fontId="8" fillId="0" borderId="5" xfId="0" applyFont="1" applyBorder="1"/>
    <xf numFmtId="0" fontId="9" fillId="0" borderId="6" xfId="0" applyFont="1" applyBorder="1" applyAlignment="1">
      <alignment horizontal="left"/>
    </xf>
    <xf numFmtId="0" fontId="9" fillId="0" borderId="7" xfId="0" applyFont="1" applyBorder="1" applyAlignment="1">
      <alignment horizontal="left" wrapText="1"/>
    </xf>
    <xf numFmtId="0" fontId="9" fillId="0" borderId="8" xfId="0" applyFont="1" applyBorder="1" applyAlignment="1">
      <alignment horizontal="left" wrapText="1"/>
    </xf>
    <xf numFmtId="0" fontId="9" fillId="4" borderId="0" xfId="0" applyFont="1" applyFill="1"/>
    <xf numFmtId="0" fontId="13" fillId="0" borderId="0" xfId="0" applyFont="1" applyAlignment="1">
      <alignment horizontal="right"/>
    </xf>
    <xf numFmtId="0" fontId="9" fillId="0" borderId="4" xfId="0" applyFont="1" applyBorder="1" applyAlignment="1">
      <alignment horizontal="left"/>
    </xf>
    <xf numFmtId="0" fontId="12" fillId="0" borderId="0" xfId="0" applyFont="1"/>
    <xf numFmtId="0" fontId="13" fillId="0" borderId="0" xfId="0" applyFont="1" applyAlignment="1">
      <alignment horizontal="left"/>
    </xf>
    <xf numFmtId="0" fontId="1" fillId="0" borderId="0" xfId="3"/>
    <xf numFmtId="49" fontId="15" fillId="5" borderId="0" xfId="0" applyNumberFormat="1" applyFont="1" applyFill="1" applyAlignment="1">
      <alignment wrapText="1"/>
    </xf>
    <xf numFmtId="49" fontId="16" fillId="5" borderId="0" xfId="0" applyNumberFormat="1" applyFont="1" applyFill="1" applyAlignment="1">
      <alignment wrapText="1"/>
    </xf>
    <xf numFmtId="49" fontId="16" fillId="3" borderId="10" xfId="0" applyNumberFormat="1" applyFont="1" applyFill="1" applyBorder="1" applyAlignment="1">
      <alignment horizontal="right" vertical="center" wrapText="1"/>
    </xf>
    <xf numFmtId="49" fontId="16" fillId="6" borderId="10" xfId="0" applyNumberFormat="1" applyFont="1" applyFill="1" applyBorder="1" applyAlignment="1">
      <alignment horizontal="left" vertical="top" wrapText="1"/>
    </xf>
    <xf numFmtId="49" fontId="16" fillId="3" borderId="10" xfId="0" applyNumberFormat="1" applyFont="1" applyFill="1" applyBorder="1" applyAlignment="1">
      <alignment horizontal="left" vertical="center" wrapText="1"/>
    </xf>
    <xf numFmtId="49" fontId="0" fillId="3" borderId="10" xfId="0" applyNumberFormat="1" applyFill="1" applyBorder="1" applyAlignment="1">
      <alignment horizontal="left" vertical="center" wrapText="1"/>
    </xf>
    <xf numFmtId="49" fontId="16" fillId="6" borderId="10" xfId="0" applyNumberFormat="1" applyFont="1" applyFill="1" applyBorder="1" applyAlignment="1">
      <alignment horizontal="left" vertical="center" wrapText="1"/>
    </xf>
    <xf numFmtId="180" fontId="17" fillId="5" borderId="10" xfId="0" applyNumberFormat="1" applyFont="1" applyFill="1" applyBorder="1" applyAlignment="1">
      <alignment horizontal="right" vertical="center" wrapText="1"/>
    </xf>
    <xf numFmtId="180" fontId="16" fillId="5" borderId="10" xfId="0" applyNumberFormat="1" applyFont="1" applyFill="1" applyBorder="1" applyAlignment="1">
      <alignment horizontal="right" vertical="center" wrapText="1"/>
    </xf>
    <xf numFmtId="0" fontId="16" fillId="7" borderId="10" xfId="0" applyFont="1" applyFill="1" applyBorder="1" applyAlignment="1">
      <alignment horizontal="right" vertical="center" wrapText="1"/>
    </xf>
    <xf numFmtId="180" fontId="16" fillId="7" borderId="10" xfId="0" applyNumberFormat="1" applyFont="1" applyFill="1" applyBorder="1" applyAlignment="1">
      <alignment horizontal="right" vertical="center" wrapText="1"/>
    </xf>
    <xf numFmtId="9" fontId="0" fillId="0" borderId="0" xfId="2" applyFont="1"/>
    <xf numFmtId="178" fontId="1" fillId="0" borderId="0" xfId="1" applyNumberFormat="1" applyFont="1"/>
    <xf numFmtId="49" fontId="0" fillId="6" borderId="10" xfId="0" applyNumberFormat="1" applyFill="1" applyBorder="1" applyAlignment="1">
      <alignment horizontal="left" vertical="center" wrapText="1"/>
    </xf>
    <xf numFmtId="49" fontId="16" fillId="8" borderId="10" xfId="0" applyNumberFormat="1" applyFont="1" applyFill="1" applyBorder="1" applyAlignment="1">
      <alignment horizontal="left" vertical="center" wrapText="1" indent="2"/>
    </xf>
    <xf numFmtId="49" fontId="0" fillId="9" borderId="10" xfId="0" applyNumberFormat="1" applyFill="1" applyBorder="1" applyAlignment="1">
      <alignment horizontal="left" vertical="center" wrapText="1"/>
    </xf>
    <xf numFmtId="49" fontId="16" fillId="9" borderId="10" xfId="0" applyNumberFormat="1" applyFont="1" applyFill="1" applyBorder="1" applyAlignment="1">
      <alignment horizontal="left" vertical="center" wrapText="1" indent="1"/>
    </xf>
    <xf numFmtId="49" fontId="16" fillId="9" borderId="10" xfId="0" applyNumberFormat="1" applyFont="1" applyFill="1" applyBorder="1" applyAlignment="1">
      <alignment horizontal="left" vertical="center" wrapText="1"/>
    </xf>
    <xf numFmtId="0" fontId="18" fillId="0" borderId="0" xfId="0" applyFont="1"/>
    <xf numFmtId="177" fontId="12" fillId="0" borderId="0" xfId="1" applyFont="1" applyFill="1" applyProtection="1"/>
    <xf numFmtId="177" fontId="9" fillId="0" borderId="0" xfId="1" applyFont="1" applyFill="1" applyProtection="1"/>
    <xf numFmtId="177" fontId="13" fillId="0" borderId="0" xfId="1" applyFont="1" applyFill="1" applyAlignment="1" applyProtection="1">
      <alignment horizontal="left"/>
    </xf>
    <xf numFmtId="177" fontId="18" fillId="0" borderId="0" xfId="1" applyFont="1" applyFill="1" applyProtection="1"/>
    <xf numFmtId="0" fontId="9" fillId="0" borderId="5" xfId="0" applyFont="1" applyBorder="1" applyAlignment="1">
      <alignment horizontal="left" wrapText="1"/>
    </xf>
    <xf numFmtId="177" fontId="12" fillId="0" borderId="0" xfId="8" applyFont="1" applyFill="1" applyProtection="1"/>
    <xf numFmtId="0" fontId="19" fillId="0" borderId="0" xfId="9"/>
    <xf numFmtId="49" fontId="16" fillId="8" borderId="10" xfId="0" applyNumberFormat="1" applyFont="1" applyFill="1" applyBorder="1" applyAlignment="1">
      <alignment horizontal="left" vertical="center" wrapText="1"/>
    </xf>
    <xf numFmtId="178" fontId="0" fillId="0" borderId="0" xfId="1" applyNumberFormat="1" applyFont="1"/>
    <xf numFmtId="0" fontId="22" fillId="0" borderId="1" xfId="0" applyFont="1" applyBorder="1"/>
    <xf numFmtId="178" fontId="0" fillId="0" borderId="5" xfId="1" applyNumberFormat="1" applyFont="1" applyBorder="1" applyProtection="1"/>
    <xf numFmtId="0" fontId="26" fillId="0" borderId="0" xfId="0" applyFont="1" applyAlignment="1">
      <alignment wrapText="1"/>
    </xf>
    <xf numFmtId="0" fontId="0" fillId="0" borderId="22" xfId="0" applyBorder="1"/>
    <xf numFmtId="0" fontId="0" fillId="0" borderId="20" xfId="0" applyBorder="1"/>
    <xf numFmtId="178" fontId="0" fillId="2" borderId="9" xfId="1" applyNumberFormat="1" applyFont="1" applyFill="1" applyBorder="1" applyAlignment="1">
      <alignment horizontal="left" vertical="top" wrapText="1"/>
    </xf>
    <xf numFmtId="0" fontId="20" fillId="0" borderId="17" xfId="0" applyFont="1" applyBorder="1"/>
    <xf numFmtId="0" fontId="20" fillId="0" borderId="18" xfId="0" applyFont="1" applyBorder="1"/>
    <xf numFmtId="0" fontId="0" fillId="0" borderId="23" xfId="0" applyBorder="1"/>
    <xf numFmtId="0" fontId="0" fillId="0" borderId="16" xfId="0" applyBorder="1"/>
    <xf numFmtId="0" fontId="0" fillId="0" borderId="11" xfId="0" applyBorder="1"/>
    <xf numFmtId="0" fontId="0" fillId="11" borderId="16" xfId="0" applyFill="1" applyBorder="1"/>
    <xf numFmtId="0" fontId="0" fillId="11" borderId="11" xfId="0" applyFill="1" applyBorder="1"/>
    <xf numFmtId="0" fontId="0" fillId="0" borderId="12" xfId="0" applyBorder="1"/>
    <xf numFmtId="0" fontId="0" fillId="2" borderId="2" xfId="0" applyFill="1" applyBorder="1" applyProtection="1">
      <protection locked="0"/>
    </xf>
    <xf numFmtId="0" fontId="0" fillId="2" borderId="3" xfId="0" applyFill="1" applyBorder="1" applyProtection="1">
      <protection locked="0"/>
    </xf>
    <xf numFmtId="178" fontId="0" fillId="2" borderId="9" xfId="1" quotePrefix="1" applyNumberFormat="1" applyFont="1" applyFill="1" applyBorder="1" applyAlignment="1" applyProtection="1">
      <alignment vertical="center" wrapText="1"/>
      <protection locked="0"/>
    </xf>
    <xf numFmtId="178" fontId="0" fillId="2" borderId="9" xfId="1" applyNumberFormat="1" applyFont="1" applyFill="1" applyBorder="1" applyAlignment="1" applyProtection="1">
      <alignment vertical="center" wrapText="1"/>
      <protection locked="0"/>
    </xf>
    <xf numFmtId="178" fontId="0" fillId="2" borderId="9" xfId="1" applyNumberFormat="1" applyFont="1" applyFill="1" applyBorder="1" applyAlignment="1" applyProtection="1">
      <alignment horizontal="left" vertical="top" wrapText="1"/>
      <protection locked="0"/>
    </xf>
    <xf numFmtId="178" fontId="0" fillId="2" borderId="11" xfId="1" applyNumberFormat="1" applyFont="1" applyFill="1" applyBorder="1" applyAlignment="1" applyProtection="1">
      <alignment horizontal="left" vertical="top" wrapText="1"/>
      <protection locked="0"/>
    </xf>
    <xf numFmtId="177" fontId="0" fillId="0" borderId="0" xfId="1" applyFont="1" applyBorder="1" applyProtection="1"/>
    <xf numFmtId="178" fontId="0" fillId="0" borderId="0" xfId="1" applyNumberFormat="1" applyFont="1" applyBorder="1" applyProtection="1"/>
    <xf numFmtId="10" fontId="0" fillId="0" borderId="0" xfId="2" applyNumberFormat="1" applyFont="1" applyBorder="1" applyProtection="1"/>
    <xf numFmtId="10" fontId="0" fillId="0" borderId="5" xfId="2" applyNumberFormat="1" applyFont="1" applyBorder="1" applyProtection="1"/>
    <xf numFmtId="177" fontId="0" fillId="0" borderId="7" xfId="1" applyFont="1" applyBorder="1" applyProtection="1"/>
    <xf numFmtId="178" fontId="0" fillId="2" borderId="9" xfId="1" applyNumberFormat="1" applyFont="1" applyFill="1" applyBorder="1" applyAlignment="1" applyProtection="1">
      <alignment wrapText="1"/>
      <protection locked="0"/>
    </xf>
    <xf numFmtId="178" fontId="0" fillId="2" borderId="11" xfId="1" applyNumberFormat="1" applyFont="1" applyFill="1" applyBorder="1" applyAlignment="1" applyProtection="1">
      <alignment wrapText="1"/>
      <protection locked="0"/>
    </xf>
    <xf numFmtId="0" fontId="0" fillId="2" borderId="5" xfId="0" applyFill="1" applyBorder="1" applyAlignment="1" applyProtection="1">
      <alignment horizontal="left"/>
      <protection locked="0"/>
    </xf>
    <xf numFmtId="177" fontId="0" fillId="2" borderId="9" xfId="1" applyFont="1" applyFill="1" applyBorder="1" applyProtection="1">
      <protection locked="0"/>
    </xf>
    <xf numFmtId="182" fontId="16" fillId="7" borderId="10" xfId="0" applyNumberFormat="1" applyFont="1" applyFill="1" applyBorder="1" applyAlignment="1">
      <alignment horizontal="right" vertical="center" wrapText="1"/>
    </xf>
    <xf numFmtId="183" fontId="16" fillId="5" borderId="0" xfId="0" applyNumberFormat="1" applyFont="1" applyFill="1" applyAlignment="1">
      <alignment wrapText="1"/>
    </xf>
    <xf numFmtId="183" fontId="15" fillId="5" borderId="0" xfId="0" applyNumberFormat="1" applyFont="1" applyFill="1" applyAlignment="1">
      <alignment wrapText="1"/>
    </xf>
    <xf numFmtId="49" fontId="15" fillId="5" borderId="0" xfId="0" applyNumberFormat="1" applyFont="1" applyFill="1"/>
    <xf numFmtId="0" fontId="26" fillId="0" borderId="0" xfId="0" applyFont="1"/>
    <xf numFmtId="183" fontId="16" fillId="5" borderId="0" xfId="0" applyNumberFormat="1" applyFont="1" applyFill="1"/>
    <xf numFmtId="49" fontId="16" fillId="9" borderId="10" xfId="0" applyNumberFormat="1" applyFont="1" applyFill="1" applyBorder="1" applyAlignment="1">
      <alignment horizontal="left" vertical="top" wrapText="1"/>
    </xf>
    <xf numFmtId="184" fontId="16" fillId="5" borderId="10" xfId="0" applyNumberFormat="1" applyFont="1" applyFill="1" applyBorder="1" applyAlignment="1">
      <alignment horizontal="right" vertical="center" wrapText="1"/>
    </xf>
    <xf numFmtId="185" fontId="16" fillId="5" borderId="10" xfId="0" applyNumberFormat="1" applyFont="1" applyFill="1" applyBorder="1" applyAlignment="1">
      <alignment horizontal="right" vertical="center" wrapText="1"/>
    </xf>
    <xf numFmtId="184" fontId="16" fillId="7" borderId="10" xfId="0" applyNumberFormat="1" applyFont="1" applyFill="1" applyBorder="1" applyAlignment="1">
      <alignment horizontal="right" vertical="center" wrapText="1"/>
    </xf>
    <xf numFmtId="185" fontId="16" fillId="7" borderId="10" xfId="0" applyNumberFormat="1" applyFont="1" applyFill="1" applyBorder="1" applyAlignment="1">
      <alignment horizontal="right" vertical="center" wrapText="1"/>
    </xf>
    <xf numFmtId="186" fontId="16" fillId="7" borderId="10" xfId="0" applyNumberFormat="1" applyFont="1" applyFill="1" applyBorder="1" applyAlignment="1">
      <alignment horizontal="right" vertical="center" wrapText="1"/>
    </xf>
    <xf numFmtId="186" fontId="16" fillId="5" borderId="10" xfId="0" applyNumberFormat="1" applyFont="1" applyFill="1" applyBorder="1" applyAlignment="1">
      <alignment horizontal="right" vertical="center" wrapText="1"/>
    </xf>
    <xf numFmtId="177" fontId="0" fillId="0" borderId="0" xfId="1" applyFont="1" applyProtection="1"/>
    <xf numFmtId="0" fontId="20" fillId="0" borderId="1" xfId="0" applyFont="1" applyBorder="1"/>
    <xf numFmtId="0" fontId="20" fillId="0" borderId="4" xfId="0" applyFont="1" applyBorder="1"/>
    <xf numFmtId="0" fontId="0" fillId="0" borderId="5" xfId="0" applyBorder="1"/>
    <xf numFmtId="0" fontId="0" fillId="0" borderId="9" xfId="0" applyBorder="1" applyAlignment="1">
      <alignment wrapText="1"/>
    </xf>
    <xf numFmtId="49" fontId="0" fillId="0" borderId="9" xfId="0" applyNumberFormat="1" applyBorder="1" applyAlignment="1">
      <alignment wrapText="1"/>
    </xf>
    <xf numFmtId="177" fontId="0" fillId="0" borderId="9" xfId="1" applyFont="1" applyBorder="1" applyAlignment="1" applyProtection="1">
      <alignment wrapText="1"/>
    </xf>
    <xf numFmtId="9" fontId="0" fillId="0" borderId="9" xfId="2" applyFont="1" applyBorder="1" applyAlignment="1" applyProtection="1">
      <alignment wrapText="1"/>
    </xf>
    <xf numFmtId="179" fontId="0" fillId="0" borderId="9" xfId="2" applyNumberFormat="1" applyFont="1" applyBorder="1" applyAlignment="1" applyProtection="1">
      <alignment wrapText="1"/>
    </xf>
    <xf numFmtId="0" fontId="0" fillId="0" borderId="0" xfId="0" quotePrefix="1" applyAlignment="1">
      <alignment wrapText="1"/>
    </xf>
    <xf numFmtId="0" fontId="0" fillId="0" borderId="0" xfId="0" applyAlignment="1">
      <alignment wrapText="1"/>
    </xf>
    <xf numFmtId="0" fontId="0" fillId="0" borderId="4" xfId="0" applyBorder="1"/>
    <xf numFmtId="177" fontId="0" fillId="0" borderId="0" xfId="1" applyFont="1" applyFill="1" applyBorder="1" applyAlignment="1" applyProtection="1">
      <alignment wrapText="1"/>
    </xf>
    <xf numFmtId="177" fontId="0" fillId="0" borderId="5" xfId="1" applyFont="1" applyFill="1" applyBorder="1" applyAlignment="1" applyProtection="1">
      <alignment wrapText="1"/>
    </xf>
    <xf numFmtId="9" fontId="0" fillId="0" borderId="5" xfId="0" applyNumberFormat="1" applyBorder="1"/>
    <xf numFmtId="43" fontId="0" fillId="0" borderId="0" xfId="0" applyNumberFormat="1"/>
    <xf numFmtId="43" fontId="0" fillId="0" borderId="5" xfId="0" applyNumberFormat="1" applyBorder="1"/>
    <xf numFmtId="0" fontId="0" fillId="0" borderId="6" xfId="0" applyBorder="1"/>
    <xf numFmtId="181" fontId="0" fillId="0" borderId="7" xfId="0" applyNumberFormat="1" applyBorder="1"/>
    <xf numFmtId="181" fontId="0" fillId="0" borderId="8" xfId="0" applyNumberFormat="1" applyBorder="1"/>
    <xf numFmtId="179" fontId="20" fillId="10" borderId="0" xfId="2" applyNumberFormat="1" applyFont="1" applyFill="1" applyBorder="1" applyProtection="1"/>
    <xf numFmtId="9" fontId="20" fillId="0" borderId="0" xfId="2" applyFont="1" applyBorder="1" applyProtection="1"/>
    <xf numFmtId="9" fontId="20" fillId="0" borderId="5" xfId="2" applyFont="1" applyBorder="1" applyProtection="1"/>
    <xf numFmtId="178" fontId="0" fillId="0" borderId="0" xfId="0" applyNumberFormat="1"/>
    <xf numFmtId="177" fontId="0" fillId="12" borderId="11" xfId="1" applyFont="1" applyFill="1" applyBorder="1" applyProtection="1">
      <protection locked="0"/>
    </xf>
    <xf numFmtId="178" fontId="0" fillId="12" borderId="11" xfId="1" applyNumberFormat="1" applyFont="1" applyFill="1" applyBorder="1" applyAlignment="1" applyProtection="1">
      <alignment wrapText="1"/>
      <protection locked="0"/>
    </xf>
    <xf numFmtId="0" fontId="16" fillId="5" borderId="10" xfId="0" applyFont="1" applyFill="1" applyBorder="1" applyAlignment="1">
      <alignment horizontal="right" vertical="center" wrapText="1"/>
    </xf>
    <xf numFmtId="187" fontId="16" fillId="7" borderId="10" xfId="0" applyNumberFormat="1" applyFont="1" applyFill="1" applyBorder="1" applyAlignment="1">
      <alignment horizontal="right" vertical="center" wrapText="1"/>
    </xf>
    <xf numFmtId="0" fontId="0" fillId="0" borderId="1" xfId="0" applyBorder="1"/>
    <xf numFmtId="177" fontId="0" fillId="0" borderId="2" xfId="1" applyFont="1" applyBorder="1" applyProtection="1"/>
    <xf numFmtId="178" fontId="0" fillId="0" borderId="2" xfId="1" applyNumberFormat="1" applyFont="1" applyBorder="1" applyProtection="1"/>
    <xf numFmtId="178" fontId="0" fillId="0" borderId="3" xfId="1" applyNumberFormat="1" applyFont="1" applyBorder="1" applyProtection="1"/>
    <xf numFmtId="178" fontId="0" fillId="0" borderId="5" xfId="0" applyNumberFormat="1" applyBorder="1"/>
    <xf numFmtId="179" fontId="0" fillId="0" borderId="7" xfId="2" applyNumberFormat="1" applyFont="1" applyFill="1" applyBorder="1" applyProtection="1"/>
    <xf numFmtId="0" fontId="0" fillId="0" borderId="7" xfId="0" applyBorder="1"/>
    <xf numFmtId="0" fontId="0" fillId="0" borderId="8" xfId="0" applyBorder="1"/>
    <xf numFmtId="177" fontId="0" fillId="0" borderId="0" xfId="0" applyNumberFormat="1"/>
    <xf numFmtId="181" fontId="0" fillId="0" borderId="0" xfId="0" applyNumberFormat="1"/>
    <xf numFmtId="0" fontId="9" fillId="0" borderId="0" xfId="0" applyFont="1" applyAlignment="1">
      <alignment horizontal="center"/>
    </xf>
    <xf numFmtId="0" fontId="14" fillId="0" borderId="0" xfId="0" applyFont="1"/>
    <xf numFmtId="0" fontId="11" fillId="0" borderId="0" xfId="0" applyFont="1"/>
    <xf numFmtId="179" fontId="28" fillId="0" borderId="0" xfId="2" applyNumberFormat="1" applyFont="1" applyBorder="1" applyAlignment="1" applyProtection="1">
      <alignment horizontal="right"/>
    </xf>
    <xf numFmtId="0" fontId="9" fillId="0" borderId="0" xfId="0" applyFont="1" applyProtection="1">
      <protection locked="0"/>
    </xf>
    <xf numFmtId="0" fontId="9" fillId="0" borderId="0" xfId="0" applyFont="1" applyAlignment="1" applyProtection="1">
      <alignment horizontal="center"/>
      <protection locked="0"/>
    </xf>
    <xf numFmtId="177" fontId="0" fillId="2" borderId="11" xfId="1" applyFont="1" applyFill="1" applyBorder="1" applyProtection="1">
      <protection locked="0"/>
    </xf>
    <xf numFmtId="179" fontId="0" fillId="0" borderId="0" xfId="2" applyNumberFormat="1" applyFont="1" applyFill="1" applyBorder="1" applyProtection="1"/>
    <xf numFmtId="179" fontId="0" fillId="0" borderId="8" xfId="2" applyNumberFormat="1" applyFont="1" applyFill="1" applyBorder="1" applyProtection="1"/>
    <xf numFmtId="0" fontId="9" fillId="2" borderId="17" xfId="0" applyFont="1" applyFill="1" applyBorder="1" applyAlignment="1" applyProtection="1">
      <alignment horizontal="left" vertical="top" wrapText="1"/>
      <protection locked="0"/>
    </xf>
    <xf numFmtId="0" fontId="9" fillId="2" borderId="26" xfId="0" applyFont="1" applyFill="1" applyBorder="1" applyAlignment="1" applyProtection="1">
      <alignment horizontal="left" vertical="top" wrapText="1"/>
      <protection locked="0"/>
    </xf>
    <xf numFmtId="0" fontId="9" fillId="2" borderId="18" xfId="0" applyFont="1" applyFill="1" applyBorder="1" applyAlignment="1" applyProtection="1">
      <alignment horizontal="left" vertical="top" wrapText="1"/>
      <protection locked="0"/>
    </xf>
    <xf numFmtId="0" fontId="27" fillId="0" borderId="15" xfId="0" applyFont="1" applyBorder="1" applyAlignment="1">
      <alignment horizontal="left" vertical="center" wrapText="1"/>
    </xf>
    <xf numFmtId="0" fontId="27" fillId="0" borderId="21" xfId="0" applyFont="1" applyBorder="1" applyAlignment="1">
      <alignment horizontal="left" vertical="center" wrapText="1"/>
    </xf>
    <xf numFmtId="0" fontId="27" fillId="0" borderId="19" xfId="0" applyFont="1" applyBorder="1" applyAlignment="1">
      <alignment horizontal="left" vertical="center" wrapText="1"/>
    </xf>
    <xf numFmtId="0" fontId="9" fillId="0" borderId="4" xfId="0" applyFont="1" applyBorder="1" applyAlignment="1">
      <alignment horizontal="left" wrapText="1"/>
    </xf>
    <xf numFmtId="0" fontId="9" fillId="0" borderId="0" xfId="0" applyFont="1" applyAlignment="1">
      <alignment horizontal="left" wrapText="1"/>
    </xf>
    <xf numFmtId="0" fontId="9" fillId="0" borderId="5" xfId="0" applyFont="1" applyBorder="1" applyAlignment="1">
      <alignment horizontal="left" wrapText="1"/>
    </xf>
    <xf numFmtId="0" fontId="9" fillId="0" borderId="6" xfId="0" applyFont="1" applyBorder="1" applyAlignment="1">
      <alignment horizontal="left" wrapText="1"/>
    </xf>
    <xf numFmtId="0" fontId="9" fillId="0" borderId="7" xfId="0" applyFont="1" applyBorder="1" applyAlignment="1">
      <alignment horizontal="left" wrapText="1"/>
    </xf>
    <xf numFmtId="0" fontId="9" fillId="0" borderId="8" xfId="0" applyFont="1" applyBorder="1" applyAlignment="1">
      <alignment horizontal="left" wrapText="1"/>
    </xf>
    <xf numFmtId="0" fontId="9" fillId="0" borderId="4" xfId="0" applyFont="1" applyBorder="1" applyAlignment="1">
      <alignment horizontal="justify" vertical="center" wrapText="1"/>
    </xf>
    <xf numFmtId="0" fontId="9" fillId="0" borderId="0" xfId="0" applyFont="1" applyAlignment="1">
      <alignment horizontal="justify" vertical="center" wrapText="1"/>
    </xf>
    <xf numFmtId="0" fontId="9" fillId="0" borderId="5" xfId="0" applyFont="1" applyBorder="1" applyAlignment="1">
      <alignment horizontal="justify" vertical="center" wrapText="1"/>
    </xf>
    <xf numFmtId="0" fontId="9" fillId="0" borderId="6" xfId="0" applyFont="1" applyBorder="1" applyAlignment="1">
      <alignment horizontal="justify" vertical="center" wrapText="1"/>
    </xf>
    <xf numFmtId="0" fontId="9" fillId="0" borderId="7" xfId="0" applyFont="1" applyBorder="1" applyAlignment="1">
      <alignment horizontal="justify" vertical="center" wrapText="1"/>
    </xf>
    <xf numFmtId="0" fontId="9" fillId="0" borderId="8" xfId="0" applyFont="1" applyBorder="1" applyAlignment="1">
      <alignment horizontal="justify" vertical="center" wrapText="1"/>
    </xf>
    <xf numFmtId="0" fontId="9" fillId="0" borderId="4" xfId="0" applyFont="1" applyBorder="1" applyAlignment="1">
      <alignment horizontal="justify" vertical="top" wrapText="1"/>
    </xf>
    <xf numFmtId="0" fontId="9" fillId="0" borderId="0" xfId="0" applyFont="1" applyAlignment="1">
      <alignment horizontal="justify" vertical="top" wrapText="1"/>
    </xf>
    <xf numFmtId="0" fontId="9" fillId="0" borderId="5" xfId="0" applyFont="1" applyBorder="1" applyAlignment="1">
      <alignment horizontal="justify" vertical="top" wrapText="1"/>
    </xf>
    <xf numFmtId="0" fontId="9" fillId="0" borderId="6" xfId="0" applyFont="1" applyBorder="1" applyAlignment="1">
      <alignment horizontal="justify" vertical="top" wrapText="1"/>
    </xf>
    <xf numFmtId="0" fontId="9" fillId="0" borderId="7" xfId="0" applyFont="1" applyBorder="1" applyAlignment="1">
      <alignment horizontal="justify" vertical="top" wrapText="1"/>
    </xf>
    <xf numFmtId="0" fontId="9" fillId="0" borderId="8" xfId="0" applyFont="1" applyBorder="1" applyAlignment="1">
      <alignment horizontal="justify" vertical="top" wrapText="1"/>
    </xf>
    <xf numFmtId="0" fontId="14" fillId="0" borderId="4" xfId="0" applyFont="1" applyBorder="1" applyAlignment="1">
      <alignment horizontal="left" wrapText="1"/>
    </xf>
    <xf numFmtId="0" fontId="14" fillId="0" borderId="0" xfId="0" applyFont="1" applyAlignment="1">
      <alignment horizontal="left" wrapText="1"/>
    </xf>
    <xf numFmtId="0" fontId="14" fillId="0" borderId="5" xfId="0" applyFont="1" applyBorder="1" applyAlignment="1">
      <alignment horizontal="left" wrapText="1"/>
    </xf>
    <xf numFmtId="183" fontId="15" fillId="5" borderId="0" xfId="0" applyNumberFormat="1" applyFont="1" applyFill="1" applyAlignment="1">
      <alignment wrapText="1"/>
    </xf>
    <xf numFmtId="49" fontId="0" fillId="3" borderId="13" xfId="0" applyNumberFormat="1" applyFill="1" applyBorder="1" applyAlignment="1">
      <alignment horizontal="left" vertical="center" wrapText="1"/>
    </xf>
    <xf numFmtId="49" fontId="0" fillId="3" borderId="14" xfId="0" applyNumberFormat="1" applyFill="1" applyBorder="1" applyAlignment="1">
      <alignment horizontal="left" vertical="center" wrapText="1"/>
    </xf>
    <xf numFmtId="49" fontId="16" fillId="3" borderId="25" xfId="0" applyNumberFormat="1" applyFont="1" applyFill="1" applyBorder="1" applyAlignment="1">
      <alignment horizontal="left" vertical="center" wrapText="1"/>
    </xf>
    <xf numFmtId="49" fontId="16" fillId="3" borderId="24" xfId="0" applyNumberFormat="1" applyFont="1" applyFill="1" applyBorder="1" applyAlignment="1">
      <alignment horizontal="left" vertical="center" wrapText="1"/>
    </xf>
    <xf numFmtId="0" fontId="30" fillId="0" borderId="4" xfId="0" applyFont="1" applyBorder="1"/>
    <xf numFmtId="0" fontId="0" fillId="2" borderId="0" xfId="0" applyFill="1" applyBorder="1" applyProtection="1">
      <protection locked="0"/>
    </xf>
    <xf numFmtId="0" fontId="0" fillId="0" borderId="0" xfId="0" applyBorder="1"/>
    <xf numFmtId="0" fontId="0" fillId="2" borderId="0" xfId="0" applyFill="1" applyBorder="1" applyAlignment="1" applyProtection="1">
      <alignment horizontal="left"/>
      <protection locked="0"/>
    </xf>
    <xf numFmtId="0" fontId="20" fillId="0" borderId="0" xfId="0" applyFont="1" applyBorder="1"/>
    <xf numFmtId="9" fontId="0" fillId="0" borderId="0" xfId="0" applyNumberFormat="1" applyBorder="1"/>
  </cellXfs>
  <cellStyles count="13">
    <cellStyle name="Comma" xfId="1" builtinId="3"/>
    <cellStyle name="Comma 2" xfId="4" xr:uid="{00000000-0005-0000-0000-000001000000}"/>
    <cellStyle name="Comma 2 19" xfId="8" xr:uid="{00000000-0005-0000-0000-000002000000}"/>
    <cellStyle name="Comma 3" xfId="7" xr:uid="{00000000-0005-0000-0000-000003000000}"/>
    <cellStyle name="Dezimal 6" xfId="6" xr:uid="{00000000-0005-0000-0000-000004000000}"/>
    <cellStyle name="Hyperlink" xfId="9" builtinId="8"/>
    <cellStyle name="Normal" xfId="0" builtinId="0"/>
    <cellStyle name="Normal 2" xfId="3" xr:uid="{00000000-0005-0000-0000-000006000000}"/>
    <cellStyle name="Normal 3" xfId="12" xr:uid="{9FD3F3F0-97CF-4242-A54E-51978CA2A05B}"/>
    <cellStyle name="Percent" xfId="2" builtinId="5"/>
    <cellStyle name="Standard 11" xfId="5" xr:uid="{00000000-0005-0000-0000-000008000000}"/>
    <cellStyle name="Standard 2" xfId="10" xr:uid="{96EE38C8-051B-4F41-B8E3-4DD4711DFAE5}"/>
    <cellStyle name="Standard 2 2 2" xfId="11" xr:uid="{EB548CCE-200D-4547-9D19-FAE5171FB840}"/>
  </cellStyles>
  <dxfs count="0"/>
  <tableStyles count="0" defaultTableStyle="TableStyleMedium9"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10</xdr:col>
      <xdr:colOff>695325</xdr:colOff>
      <xdr:row>0</xdr:row>
      <xdr:rowOff>66675</xdr:rowOff>
    </xdr:from>
    <xdr:to>
      <xdr:col>11</xdr:col>
      <xdr:colOff>857250</xdr:colOff>
      <xdr:row>5</xdr:row>
      <xdr:rowOff>57150</xdr:rowOff>
    </xdr:to>
    <xdr:pic>
      <xdr:nvPicPr>
        <xdr:cNvPr id="5233" name="Picture 69">
          <a:extLst>
            <a:ext uri="{FF2B5EF4-FFF2-40B4-BE49-F238E27FC236}">
              <a16:creationId xmlns:a16="http://schemas.microsoft.com/office/drawing/2014/main" id="{00000000-0008-0000-0000-0000711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667625" y="66675"/>
          <a:ext cx="895350" cy="8953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cncann01002.cn001.itgr.net\rf-unitap1\Controlling\2021\5a%20Lab%20costing\EV%20BAT%20lab\202104\MASTER_Machine%20Hour_Calculation%20Template_Plan%202021_41701331_202104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backup%201107\Documents\2011\Template-Inv%20plan\From%20HQ\updated%20Nov%202012\pro-con-tool-v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Tuev\Profile\yu-cr\Documents\TUV%20SUD%20-%20Christina%20YU\Controlling\Investment\2013\Template\pro-con-too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w To"/>
      <sheetName val="P&amp;L Input"/>
      <sheetName val="Input Machines"/>
      <sheetName val="Labour Direct Cost"/>
      <sheetName val="Indirect Cost"/>
      <sheetName val="Overview Machines-short"/>
      <sheetName val="Overview Machines"/>
      <sheetName val="Data Machine (NEU)"/>
      <sheetName val="YoY Comparison Machines"/>
      <sheetName val="PoC Rate Machines"/>
      <sheetName val="P&amp;L Act Check"/>
      <sheetName val="PoC Hours"/>
      <sheetName val="P&amp;L"/>
      <sheetName val="P&amp;L 1-10"/>
      <sheetName val="Aspired Hours"/>
      <sheetName val="Prod cost upload"/>
      <sheetName val="Overview Lab Info"/>
      <sheetName val="Subitems"/>
      <sheetName val="Data Others"/>
      <sheetName val="Overview Machines-complete"/>
      <sheetName val="Overview Machines-complete (EUR"/>
      <sheetName val="Hourly Rates Output"/>
      <sheetName val="SAP"/>
      <sheetName val="Exchange Rates"/>
    </sheetNames>
    <sheetDataSet>
      <sheetData sheetId="0" refreshError="1"/>
      <sheetData sheetId="1">
        <row r="16">
          <cell r="H16">
            <v>3.8333333333333335</v>
          </cell>
        </row>
        <row r="19">
          <cell r="H19">
            <v>7670</v>
          </cell>
        </row>
        <row r="20">
          <cell r="H20">
            <v>7094</v>
          </cell>
        </row>
        <row r="21">
          <cell r="H21">
            <v>4254</v>
          </cell>
        </row>
        <row r="31">
          <cell r="H31">
            <v>787120</v>
          </cell>
        </row>
        <row r="32">
          <cell r="H32">
            <v>597220</v>
          </cell>
        </row>
        <row r="33">
          <cell r="H33">
            <v>183684</v>
          </cell>
        </row>
        <row r="34">
          <cell r="H34">
            <v>0</v>
          </cell>
        </row>
        <row r="35">
          <cell r="H35">
            <v>6216</v>
          </cell>
        </row>
      </sheetData>
      <sheetData sheetId="2">
        <row r="15">
          <cell r="BQ15">
            <v>1.5</v>
          </cell>
        </row>
        <row r="16">
          <cell r="BQ16">
            <v>1.25</v>
          </cell>
        </row>
        <row r="17">
          <cell r="BQ17">
            <v>1</v>
          </cell>
        </row>
        <row r="18">
          <cell r="BQ18">
            <v>0.75</v>
          </cell>
        </row>
        <row r="19">
          <cell r="BQ19">
            <v>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ENV_Climate</v>
          </cell>
          <cell r="B1" t="str">
            <v>ENV_Mechanical</v>
          </cell>
          <cell r="C1" t="str">
            <v>ENV_Special</v>
          </cell>
          <cell r="D1" t="str">
            <v>ENV_Others</v>
          </cell>
          <cell r="E1" t="str">
            <v>EMC_Chambers</v>
          </cell>
          <cell r="F1" t="str">
            <v>EMC_Others</v>
          </cell>
          <cell r="G1" t="str">
            <v>BAT</v>
          </cell>
          <cell r="H1" t="str">
            <v>Others</v>
          </cell>
        </row>
      </sheetData>
      <sheetData sheetId="19" refreshError="1"/>
      <sheetData sheetId="20" refreshError="1"/>
      <sheetData sheetId="21" refreshError="1"/>
      <sheetData sheetId="22" refreshError="1"/>
      <sheetData sheetId="23">
        <row r="48">
          <cell r="B48" t="str">
            <v>EUR</v>
          </cell>
        </row>
        <row r="49">
          <cell r="B49" t="str">
            <v>USD</v>
          </cell>
        </row>
        <row r="50">
          <cell r="B50" t="str">
            <v>CAD</v>
          </cell>
        </row>
        <row r="51">
          <cell r="B51" t="str">
            <v>GBP</v>
          </cell>
        </row>
        <row r="52">
          <cell r="B52" t="str">
            <v>CNY</v>
          </cell>
        </row>
        <row r="53">
          <cell r="B53" t="str">
            <v>SGD</v>
          </cell>
        </row>
        <row r="54">
          <cell r="B54" t="str">
            <v>JPY</v>
          </cell>
        </row>
        <row r="55">
          <cell r="B55" t="str">
            <v>KRW</v>
          </cell>
        </row>
        <row r="56">
          <cell r="B56" t="str">
            <v>INR</v>
          </cell>
        </row>
        <row r="57">
          <cell r="B57" t="str">
            <v>AED</v>
          </cell>
        </row>
        <row r="58">
          <cell r="B58" t="str">
            <v>AUD</v>
          </cell>
        </row>
        <row r="59">
          <cell r="B59" t="str">
            <v>BDT</v>
          </cell>
        </row>
        <row r="60">
          <cell r="B60" t="str">
            <v>BGN</v>
          </cell>
        </row>
        <row r="61">
          <cell r="B61" t="str">
            <v>BRL</v>
          </cell>
        </row>
        <row r="62">
          <cell r="B62" t="str">
            <v>CHF</v>
          </cell>
        </row>
        <row r="63">
          <cell r="B63" t="str">
            <v>CZK</v>
          </cell>
        </row>
        <row r="64">
          <cell r="B64" t="str">
            <v>DKK</v>
          </cell>
        </row>
        <row r="65">
          <cell r="B65" t="str">
            <v>EGP</v>
          </cell>
        </row>
        <row r="66">
          <cell r="B66" t="str">
            <v>HKD</v>
          </cell>
        </row>
        <row r="67">
          <cell r="B67" t="str">
            <v>HUF</v>
          </cell>
        </row>
        <row r="68">
          <cell r="B68" t="str">
            <v>IDR</v>
          </cell>
        </row>
        <row r="69">
          <cell r="B69" t="str">
            <v>LKR</v>
          </cell>
        </row>
        <row r="70">
          <cell r="B70" t="str">
            <v>MGA</v>
          </cell>
        </row>
        <row r="71">
          <cell r="B71" t="str">
            <v>MXN</v>
          </cell>
        </row>
        <row r="72">
          <cell r="B72" t="str">
            <v>MYR</v>
          </cell>
        </row>
        <row r="73">
          <cell r="B73" t="str">
            <v>OMR</v>
          </cell>
        </row>
        <row r="74">
          <cell r="B74" t="str">
            <v>PHP</v>
          </cell>
        </row>
        <row r="75">
          <cell r="B75" t="str">
            <v>PLN</v>
          </cell>
        </row>
        <row r="76">
          <cell r="B76" t="str">
            <v>QAR</v>
          </cell>
        </row>
        <row r="77">
          <cell r="B77" t="str">
            <v>RON</v>
          </cell>
        </row>
        <row r="78">
          <cell r="B78" t="str">
            <v>RSD</v>
          </cell>
        </row>
        <row r="79">
          <cell r="B79" t="str">
            <v>RUB</v>
          </cell>
        </row>
        <row r="80">
          <cell r="B80" t="str">
            <v>SEK</v>
          </cell>
        </row>
        <row r="81">
          <cell r="B81" t="str">
            <v>THB</v>
          </cell>
        </row>
        <row r="82">
          <cell r="B82" t="str">
            <v>TRY</v>
          </cell>
        </row>
        <row r="83">
          <cell r="B83" t="str">
            <v>TTD</v>
          </cell>
        </row>
        <row r="84">
          <cell r="B84" t="str">
            <v>TWD</v>
          </cell>
        </row>
        <row r="85">
          <cell r="B85" t="str">
            <v>UAH</v>
          </cell>
        </row>
        <row r="86">
          <cell r="B86" t="str">
            <v>VND</v>
          </cell>
        </row>
        <row r="87">
          <cell r="B87" t="str">
            <v>ZAR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ales"/>
      <sheetName val="Pers costs"/>
      <sheetName val="Non-pers costs"/>
      <sheetName val="Capex"/>
      <sheetName val="NWC"/>
      <sheetName val="KPI Factsheet"/>
      <sheetName val="Summary"/>
      <sheetName val="Sensitivities"/>
      <sheetName val="Business Plan"/>
      <sheetName val="Project review 1"/>
      <sheetName val="Project review 2"/>
      <sheetName val="Project review 3"/>
      <sheetName val="Finance"/>
      <sheetName val="back-up"/>
      <sheetName val="Wechselkurse"/>
      <sheetName val="Länderspezifischer WACC"/>
      <sheetName val="EN 1"/>
      <sheetName val="EN 2"/>
      <sheetName val="EN 3"/>
      <sheetName val="EN 4"/>
      <sheetName val="EN 5"/>
      <sheetName val="EN 6"/>
      <sheetName val="EN 7"/>
      <sheetName val="EN 8"/>
      <sheetName val="EN 9"/>
      <sheetName val="EN 10"/>
      <sheetName val="EN 11"/>
      <sheetName val="EN 12"/>
      <sheetName val="EN 13"/>
    </sheetNames>
    <sheetDataSet>
      <sheetData sheetId="0">
        <row r="6">
          <cell r="I6" t="str">
            <v>English</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ales"/>
      <sheetName val="Pers costs"/>
      <sheetName val="Non-pers costs"/>
      <sheetName val="Capex"/>
      <sheetName val="NWC"/>
      <sheetName val="KPI Factsheet"/>
      <sheetName val="Summary"/>
      <sheetName val="Sensitivities"/>
      <sheetName val="Business Plan"/>
      <sheetName val="Project review 1"/>
      <sheetName val="Project review 2"/>
      <sheetName val="Project review 3"/>
      <sheetName val="Finance"/>
      <sheetName val="back-up"/>
      <sheetName val="Wechselkurse"/>
      <sheetName val="Länderspezifischer WACC"/>
      <sheetName val="EN 1"/>
      <sheetName val="EN 2"/>
      <sheetName val="EN 3"/>
      <sheetName val="EN 4"/>
      <sheetName val="EN 5"/>
      <sheetName val="EN 6"/>
      <sheetName val="EN 7"/>
      <sheetName val="EN 8"/>
      <sheetName val="EN 9"/>
      <sheetName val="EN 10"/>
      <sheetName val="EN 11"/>
      <sheetName val="EN 12"/>
      <sheetName val="EN 13"/>
    </sheetNames>
    <sheetDataSet>
      <sheetData sheetId="0" refreshError="1">
        <row r="6">
          <cell r="I6" t="str">
            <v>English</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row r="4">
          <cell r="J4">
            <v>1</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persons/person.xml><?xml version="1.0" encoding="utf-8"?>
<personList xmlns="http://schemas.microsoft.com/office/spreadsheetml/2018/threadedcomments" xmlns:x="http://schemas.openxmlformats.org/spreadsheetml/2006/main">
  <person displayName="Wang, Irene" id="{F1F69FA8-E9B1-4A48-AD65-B07886BDEA11}" userId="S::wang-ir@cn001.itgr.net::8a3274d0-9f86-4b63-a4a8-cd2b91d8557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1" dT="2024-06-13T07:19:35.10" personId="{F1F69FA8-E9B1-4A48-AD65-B07886BDEA11}" id="{1F023206-D2C5-40D3-ACB2-BC9D9E26D9F9}">
    <text>eg:AA1000 logo fee</text>
  </threadedComment>
  <threadedComment ref="B25" dT="2024-06-13T07:07:08.65" personId="{F1F69FA8-E9B1-4A48-AD65-B07886BDEA11}" id="{F5FDC222-C419-499F-B796-EA266DF729C5}">
    <text>travel cost for sales person etc...</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hyperlink" Target="https://businessportal.itgr.net/irj/servlet/prt/portal/prtroot/pcd!3aportal_content!2fcom.sap.pct!2fplatform_add_ons!2fcom.sap.ip.bi!2fiViews!2fcom.sap.ip.bi.bex?BOOKMARK=00O2TKES8EUYAGFB2C274BY3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portal.itgr.net/irj/servlet/prt/portal/prtroot/pcd!3aportal_content!2fcom.sap.pct!2fplatform_add_ons!2fcom.sap.ip.bi!2fiViews!2fcom.sap.ip.bi.bex?BOOKMARK=00O2TKES8EUYAGFARNKPPM5A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A6:L66"/>
  <sheetViews>
    <sheetView showGridLines="0" zoomScaleNormal="100" workbookViewId="0">
      <selection activeCell="J6" sqref="J6"/>
    </sheetView>
  </sheetViews>
  <sheetFormatPr defaultColWidth="9.125" defaultRowHeight="14.25" x14ac:dyDescent="0.2"/>
  <cols>
    <col min="1" max="1" width="5.125" style="2" customWidth="1"/>
    <col min="2" max="2" width="25.875" style="2" bestFit="1" customWidth="1"/>
    <col min="3" max="3" width="9.625" style="2" customWidth="1"/>
    <col min="4" max="10" width="9.125" style="2"/>
    <col min="11" max="11" width="11" style="2" customWidth="1"/>
    <col min="12" max="12" width="19.125" style="2" customWidth="1"/>
    <col min="13" max="16384" width="9.125" style="2"/>
  </cols>
  <sheetData>
    <row r="6" spans="1:12" ht="15" x14ac:dyDescent="0.25">
      <c r="A6" s="1" t="s">
        <v>0</v>
      </c>
    </row>
    <row r="7" spans="1:12" x14ac:dyDescent="0.2">
      <c r="A7" s="25" t="s">
        <v>255</v>
      </c>
      <c r="B7" s="25"/>
    </row>
    <row r="8" spans="1:12" ht="6.75" customHeight="1" thickBot="1" x14ac:dyDescent="0.25"/>
    <row r="9" spans="1:12" s="3" customFormat="1" ht="19.5" customHeight="1" x14ac:dyDescent="0.15">
      <c r="B9" s="4" t="s">
        <v>1</v>
      </c>
      <c r="C9" s="5"/>
      <c r="D9" s="5"/>
      <c r="E9" s="5"/>
      <c r="F9" s="5"/>
      <c r="G9" s="5"/>
      <c r="H9" s="5"/>
      <c r="I9" s="5"/>
      <c r="J9" s="5"/>
      <c r="K9" s="5"/>
      <c r="L9" s="6"/>
    </row>
    <row r="10" spans="1:12" x14ac:dyDescent="0.2">
      <c r="B10" s="7" t="s">
        <v>2</v>
      </c>
      <c r="L10" s="8"/>
    </row>
    <row r="11" spans="1:12" x14ac:dyDescent="0.2">
      <c r="B11" s="7" t="s">
        <v>3</v>
      </c>
      <c r="L11" s="8"/>
    </row>
    <row r="12" spans="1:12" ht="9.75" customHeight="1" x14ac:dyDescent="0.2">
      <c r="B12" s="154" t="s">
        <v>4</v>
      </c>
      <c r="C12" s="155"/>
      <c r="D12" s="155"/>
      <c r="E12" s="155"/>
      <c r="F12" s="155"/>
      <c r="G12" s="155"/>
      <c r="H12" s="155"/>
      <c r="I12" s="155"/>
      <c r="J12" s="155"/>
      <c r="K12" s="155"/>
      <c r="L12" s="156"/>
    </row>
    <row r="13" spans="1:12" ht="30" customHeight="1" thickBot="1" x14ac:dyDescent="0.25">
      <c r="B13" s="157"/>
      <c r="C13" s="158"/>
      <c r="D13" s="158"/>
      <c r="E13" s="158"/>
      <c r="F13" s="158"/>
      <c r="G13" s="158"/>
      <c r="H13" s="158"/>
      <c r="I13" s="158"/>
      <c r="J13" s="158"/>
      <c r="K13" s="158"/>
      <c r="L13" s="159"/>
    </row>
    <row r="14" spans="1:12" x14ac:dyDescent="0.2">
      <c r="B14" s="9"/>
      <c r="C14" s="9"/>
      <c r="D14" s="9"/>
      <c r="E14" s="9"/>
      <c r="F14" s="9"/>
      <c r="G14" s="9"/>
      <c r="H14" s="9"/>
      <c r="I14" s="9"/>
      <c r="J14" s="9"/>
      <c r="K14" s="9"/>
      <c r="L14" s="9"/>
    </row>
    <row r="15" spans="1:12" ht="15" x14ac:dyDescent="0.25">
      <c r="A15" s="1" t="s">
        <v>5</v>
      </c>
      <c r="B15" s="1" t="s">
        <v>6</v>
      </c>
    </row>
    <row r="16" spans="1:12" ht="15" thickBot="1" x14ac:dyDescent="0.25"/>
    <row r="17" spans="1:12" ht="19.5" customHeight="1" x14ac:dyDescent="0.25">
      <c r="A17" s="2">
        <v>1</v>
      </c>
      <c r="B17" s="10" t="s">
        <v>7</v>
      </c>
      <c r="C17" s="11"/>
      <c r="D17" s="11"/>
      <c r="E17" s="11"/>
      <c r="F17" s="11"/>
      <c r="G17" s="11"/>
      <c r="H17" s="11"/>
      <c r="I17" s="11"/>
      <c r="J17" s="11"/>
      <c r="K17" s="11"/>
      <c r="L17" s="12"/>
    </row>
    <row r="18" spans="1:12" ht="19.5" customHeight="1" thickBot="1" x14ac:dyDescent="0.3">
      <c r="B18" s="13" t="s">
        <v>8</v>
      </c>
      <c r="C18" s="14"/>
      <c r="D18" s="15"/>
      <c r="E18" s="15"/>
      <c r="F18" s="15"/>
      <c r="G18" s="15"/>
      <c r="H18" s="15"/>
      <c r="I18" s="15"/>
      <c r="J18" s="15"/>
      <c r="K18" s="15"/>
      <c r="L18" s="16"/>
    </row>
    <row r="19" spans="1:12" ht="15" thickBot="1" x14ac:dyDescent="0.25"/>
    <row r="20" spans="1:12" x14ac:dyDescent="0.2">
      <c r="A20" s="2">
        <v>2</v>
      </c>
      <c r="B20" s="10" t="s">
        <v>9</v>
      </c>
      <c r="C20" s="11"/>
      <c r="D20" s="11"/>
      <c r="E20" s="11"/>
      <c r="F20" s="11"/>
      <c r="G20" s="11"/>
      <c r="H20" s="11"/>
      <c r="I20" s="11"/>
      <c r="J20" s="11"/>
      <c r="K20" s="11"/>
      <c r="L20" s="12"/>
    </row>
    <row r="21" spans="1:12" ht="15" thickBot="1" x14ac:dyDescent="0.25">
      <c r="B21" s="17" t="s">
        <v>10</v>
      </c>
      <c r="C21" s="15"/>
      <c r="D21" s="15"/>
      <c r="E21" s="15"/>
      <c r="F21" s="15"/>
      <c r="G21" s="15"/>
      <c r="H21" s="15"/>
      <c r="I21" s="15"/>
      <c r="J21" s="15"/>
      <c r="K21" s="15"/>
      <c r="L21" s="16"/>
    </row>
    <row r="22" spans="1:12" ht="15" thickBot="1" x14ac:dyDescent="0.25"/>
    <row r="23" spans="1:12" x14ac:dyDescent="0.2">
      <c r="A23" s="2">
        <v>3</v>
      </c>
      <c r="B23" s="10" t="s">
        <v>11</v>
      </c>
      <c r="C23" s="11"/>
      <c r="D23" s="11"/>
      <c r="E23" s="11"/>
      <c r="F23" s="11"/>
      <c r="G23" s="11"/>
      <c r="H23" s="11"/>
      <c r="I23" s="11"/>
      <c r="J23" s="11"/>
      <c r="K23" s="11"/>
      <c r="L23" s="12"/>
    </row>
    <row r="24" spans="1:12" x14ac:dyDescent="0.2">
      <c r="B24" s="18"/>
      <c r="L24" s="8"/>
    </row>
    <row r="25" spans="1:12" s="1" customFormat="1" ht="15" x14ac:dyDescent="0.25">
      <c r="A25" s="19"/>
      <c r="B25" s="20" t="s">
        <v>12</v>
      </c>
      <c r="L25" s="21"/>
    </row>
    <row r="26" spans="1:12" x14ac:dyDescent="0.2">
      <c r="B26" s="154" t="s">
        <v>13</v>
      </c>
      <c r="C26" s="155"/>
      <c r="D26" s="155"/>
      <c r="E26" s="155"/>
      <c r="F26" s="155"/>
      <c r="G26" s="155"/>
      <c r="H26" s="155"/>
      <c r="I26" s="155"/>
      <c r="J26" s="155"/>
      <c r="K26" s="155"/>
      <c r="L26" s="156"/>
    </row>
    <row r="27" spans="1:12" ht="14.25" customHeight="1" x14ac:dyDescent="0.2">
      <c r="B27" s="154" t="s">
        <v>14</v>
      </c>
      <c r="C27" s="155"/>
      <c r="D27" s="155"/>
      <c r="E27" s="155"/>
      <c r="F27" s="155"/>
      <c r="G27" s="155"/>
      <c r="H27" s="155"/>
      <c r="I27" s="155"/>
      <c r="J27" s="155"/>
      <c r="K27" s="155"/>
      <c r="L27" s="156"/>
    </row>
    <row r="28" spans="1:12" x14ac:dyDescent="0.2">
      <c r="B28" s="154"/>
      <c r="C28" s="155"/>
      <c r="D28" s="155"/>
      <c r="E28" s="155"/>
      <c r="F28" s="155"/>
      <c r="G28" s="155"/>
      <c r="H28" s="155"/>
      <c r="I28" s="155"/>
      <c r="J28" s="155"/>
      <c r="K28" s="155"/>
      <c r="L28" s="156"/>
    </row>
    <row r="29" spans="1:12" ht="15.75" thickBot="1" x14ac:dyDescent="0.3">
      <c r="B29" s="22" t="s">
        <v>15</v>
      </c>
      <c r="C29" s="23"/>
      <c r="D29" s="23"/>
      <c r="E29" s="23"/>
      <c r="F29" s="23"/>
      <c r="G29" s="23"/>
      <c r="H29" s="23"/>
      <c r="I29" s="23"/>
      <c r="J29" s="23"/>
      <c r="K29" s="23"/>
      <c r="L29" s="24"/>
    </row>
    <row r="30" spans="1:12" ht="15" thickBot="1" x14ac:dyDescent="0.25">
      <c r="B30" s="9"/>
      <c r="C30" s="9"/>
      <c r="D30" s="9"/>
      <c r="E30" s="9"/>
      <c r="F30" s="9"/>
      <c r="G30" s="9"/>
      <c r="H30" s="9"/>
      <c r="I30" s="9"/>
      <c r="J30" s="9"/>
      <c r="K30" s="9"/>
      <c r="L30" s="9"/>
    </row>
    <row r="31" spans="1:12" x14ac:dyDescent="0.2">
      <c r="A31" s="2">
        <v>4</v>
      </c>
      <c r="B31" s="10" t="s">
        <v>16</v>
      </c>
      <c r="C31" s="11"/>
      <c r="D31" s="11"/>
      <c r="E31" s="11"/>
      <c r="F31" s="11"/>
      <c r="G31" s="11"/>
      <c r="H31" s="11"/>
      <c r="I31" s="11"/>
      <c r="J31" s="11"/>
      <c r="K31" s="11"/>
      <c r="L31" s="12"/>
    </row>
    <row r="32" spans="1:12" x14ac:dyDescent="0.2">
      <c r="B32" s="18"/>
      <c r="L32" s="8"/>
    </row>
    <row r="33" spans="1:12" x14ac:dyDescent="0.2">
      <c r="B33" s="154" t="s">
        <v>17</v>
      </c>
      <c r="C33" s="155"/>
      <c r="D33" s="155"/>
      <c r="E33" s="155"/>
      <c r="F33" s="155"/>
      <c r="G33" s="155"/>
      <c r="H33" s="155"/>
      <c r="I33" s="155"/>
      <c r="J33" s="155"/>
      <c r="K33" s="155"/>
      <c r="L33" s="156"/>
    </row>
    <row r="34" spans="1:12" x14ac:dyDescent="0.2">
      <c r="B34" s="27" t="s">
        <v>18</v>
      </c>
      <c r="C34" s="9"/>
      <c r="D34" s="9"/>
      <c r="E34" s="9"/>
      <c r="F34" s="9"/>
      <c r="G34" s="9"/>
      <c r="H34" s="9"/>
      <c r="I34" s="9"/>
      <c r="J34" s="9"/>
      <c r="K34" s="9"/>
      <c r="L34" s="54"/>
    </row>
    <row r="35" spans="1:12" ht="14.25" customHeight="1" x14ac:dyDescent="0.2">
      <c r="B35" s="172" t="s">
        <v>19</v>
      </c>
      <c r="C35" s="173"/>
      <c r="D35" s="173"/>
      <c r="E35" s="173"/>
      <c r="F35" s="173"/>
      <c r="G35" s="173"/>
      <c r="H35" s="173"/>
      <c r="I35" s="173"/>
      <c r="J35" s="173"/>
      <c r="K35" s="173"/>
      <c r="L35" s="174"/>
    </row>
    <row r="36" spans="1:12" x14ac:dyDescent="0.2">
      <c r="B36" s="154" t="s">
        <v>20</v>
      </c>
      <c r="C36" s="155"/>
      <c r="D36" s="155"/>
      <c r="E36" s="155"/>
      <c r="F36" s="155"/>
      <c r="G36" s="155"/>
      <c r="H36" s="155"/>
      <c r="I36" s="155"/>
      <c r="J36" s="155"/>
      <c r="K36" s="155"/>
      <c r="L36" s="156"/>
    </row>
    <row r="37" spans="1:12" ht="15" thickBot="1" x14ac:dyDescent="0.25">
      <c r="B37" s="22"/>
      <c r="C37" s="23"/>
      <c r="D37" s="23"/>
      <c r="E37" s="23"/>
      <c r="F37" s="23"/>
      <c r="G37" s="23"/>
      <c r="H37" s="23"/>
      <c r="I37" s="23"/>
      <c r="J37" s="23"/>
      <c r="K37" s="23"/>
      <c r="L37" s="24"/>
    </row>
    <row r="38" spans="1:12" ht="15" thickBot="1" x14ac:dyDescent="0.25">
      <c r="B38" s="9"/>
      <c r="C38" s="9"/>
      <c r="D38" s="9"/>
      <c r="E38" s="9"/>
      <c r="F38" s="9"/>
      <c r="G38" s="9"/>
      <c r="H38" s="9"/>
      <c r="I38" s="9"/>
      <c r="J38" s="9"/>
      <c r="K38" s="9"/>
      <c r="L38" s="9"/>
    </row>
    <row r="39" spans="1:12" x14ac:dyDescent="0.2">
      <c r="A39" s="2">
        <v>5</v>
      </c>
      <c r="B39" s="59" t="s">
        <v>21</v>
      </c>
      <c r="C39" s="11"/>
      <c r="D39" s="11"/>
      <c r="E39" s="11"/>
      <c r="F39" s="11"/>
      <c r="G39" s="11"/>
      <c r="H39" s="11"/>
      <c r="I39" s="11"/>
      <c r="J39" s="11"/>
      <c r="K39" s="11"/>
      <c r="L39" s="12"/>
    </row>
    <row r="40" spans="1:12" ht="15" customHeight="1" x14ac:dyDescent="0.2">
      <c r="B40" s="160" t="s">
        <v>22</v>
      </c>
      <c r="C40" s="161"/>
      <c r="D40" s="161"/>
      <c r="E40" s="161"/>
      <c r="F40" s="161"/>
      <c r="G40" s="161"/>
      <c r="H40" s="161"/>
      <c r="I40" s="161"/>
      <c r="J40" s="161"/>
      <c r="K40" s="161"/>
      <c r="L40" s="162"/>
    </row>
    <row r="41" spans="1:12" x14ac:dyDescent="0.2">
      <c r="B41" s="160"/>
      <c r="C41" s="161"/>
      <c r="D41" s="161"/>
      <c r="E41" s="161"/>
      <c r="F41" s="161"/>
      <c r="G41" s="161"/>
      <c r="H41" s="161"/>
      <c r="I41" s="161"/>
      <c r="J41" s="161"/>
      <c r="K41" s="161"/>
      <c r="L41" s="162"/>
    </row>
    <row r="42" spans="1:12" ht="42.75" customHeight="1" thickBot="1" x14ac:dyDescent="0.25">
      <c r="B42" s="163"/>
      <c r="C42" s="164"/>
      <c r="D42" s="164"/>
      <c r="E42" s="164"/>
      <c r="F42" s="164"/>
      <c r="G42" s="164"/>
      <c r="H42" s="164"/>
      <c r="I42" s="164"/>
      <c r="J42" s="164"/>
      <c r="K42" s="164"/>
      <c r="L42" s="165"/>
    </row>
    <row r="43" spans="1:12" ht="15" thickBot="1" x14ac:dyDescent="0.25">
      <c r="B43" s="9"/>
      <c r="C43" s="9"/>
      <c r="D43" s="9"/>
      <c r="E43" s="9"/>
      <c r="F43" s="9"/>
      <c r="G43" s="9"/>
      <c r="H43" s="9"/>
      <c r="I43" s="9"/>
      <c r="J43" s="9"/>
      <c r="K43" s="9"/>
      <c r="L43" s="9"/>
    </row>
    <row r="44" spans="1:12" x14ac:dyDescent="0.2">
      <c r="A44" s="2">
        <v>6</v>
      </c>
      <c r="B44" s="10" t="s">
        <v>23</v>
      </c>
      <c r="C44" s="11"/>
      <c r="D44" s="11"/>
      <c r="E44" s="11"/>
      <c r="F44" s="11"/>
      <c r="G44" s="11"/>
      <c r="H44" s="11"/>
      <c r="I44" s="11"/>
      <c r="J44" s="11"/>
      <c r="K44" s="11"/>
      <c r="L44" s="12"/>
    </row>
    <row r="45" spans="1:12" x14ac:dyDescent="0.2">
      <c r="B45" s="166" t="s">
        <v>24</v>
      </c>
      <c r="C45" s="167"/>
      <c r="D45" s="167"/>
      <c r="E45" s="167"/>
      <c r="F45" s="167"/>
      <c r="G45" s="167"/>
      <c r="H45" s="167"/>
      <c r="I45" s="167"/>
      <c r="J45" s="167"/>
      <c r="K45" s="167"/>
      <c r="L45" s="168"/>
    </row>
    <row r="46" spans="1:12" x14ac:dyDescent="0.2">
      <c r="B46" s="166"/>
      <c r="C46" s="167"/>
      <c r="D46" s="167"/>
      <c r="E46" s="167"/>
      <c r="F46" s="167"/>
      <c r="G46" s="167"/>
      <c r="H46" s="167"/>
      <c r="I46" s="167"/>
      <c r="J46" s="167"/>
      <c r="K46" s="167"/>
      <c r="L46" s="168"/>
    </row>
    <row r="47" spans="1:12" x14ac:dyDescent="0.2">
      <c r="B47" s="166"/>
      <c r="C47" s="167"/>
      <c r="D47" s="167"/>
      <c r="E47" s="167"/>
      <c r="F47" s="167"/>
      <c r="G47" s="167"/>
      <c r="H47" s="167"/>
      <c r="I47" s="167"/>
      <c r="J47" s="167"/>
      <c r="K47" s="167"/>
      <c r="L47" s="168"/>
    </row>
    <row r="48" spans="1:12" x14ac:dyDescent="0.2">
      <c r="B48" s="166"/>
      <c r="C48" s="167"/>
      <c r="D48" s="167"/>
      <c r="E48" s="167"/>
      <c r="F48" s="167"/>
      <c r="G48" s="167"/>
      <c r="H48" s="167"/>
      <c r="I48" s="167"/>
      <c r="J48" s="167"/>
      <c r="K48" s="167"/>
      <c r="L48" s="168"/>
    </row>
    <row r="49" spans="1:12" x14ac:dyDescent="0.2">
      <c r="B49" s="166"/>
      <c r="C49" s="167"/>
      <c r="D49" s="167"/>
      <c r="E49" s="167"/>
      <c r="F49" s="167"/>
      <c r="G49" s="167"/>
      <c r="H49" s="167"/>
      <c r="I49" s="167"/>
      <c r="J49" s="167"/>
      <c r="K49" s="167"/>
      <c r="L49" s="168"/>
    </row>
    <row r="50" spans="1:12" x14ac:dyDescent="0.2">
      <c r="B50" s="166"/>
      <c r="C50" s="167"/>
      <c r="D50" s="167"/>
      <c r="E50" s="167"/>
      <c r="F50" s="167"/>
      <c r="G50" s="167"/>
      <c r="H50" s="167"/>
      <c r="I50" s="167"/>
      <c r="J50" s="167"/>
      <c r="K50" s="167"/>
      <c r="L50" s="168"/>
    </row>
    <row r="51" spans="1:12" x14ac:dyDescent="0.2">
      <c r="B51" s="166"/>
      <c r="C51" s="167"/>
      <c r="D51" s="167"/>
      <c r="E51" s="167"/>
      <c r="F51" s="167"/>
      <c r="G51" s="167"/>
      <c r="H51" s="167"/>
      <c r="I51" s="167"/>
      <c r="J51" s="167"/>
      <c r="K51" s="167"/>
      <c r="L51" s="168"/>
    </row>
    <row r="52" spans="1:12" x14ac:dyDescent="0.2">
      <c r="B52" s="166"/>
      <c r="C52" s="167"/>
      <c r="D52" s="167"/>
      <c r="E52" s="167"/>
      <c r="F52" s="167"/>
      <c r="G52" s="167"/>
      <c r="H52" s="167"/>
      <c r="I52" s="167"/>
      <c r="J52" s="167"/>
      <c r="K52" s="167"/>
      <c r="L52" s="168"/>
    </row>
    <row r="53" spans="1:12" ht="15" thickBot="1" x14ac:dyDescent="0.25">
      <c r="B53" s="169"/>
      <c r="C53" s="170"/>
      <c r="D53" s="170"/>
      <c r="E53" s="170"/>
      <c r="F53" s="170"/>
      <c r="G53" s="170"/>
      <c r="H53" s="170"/>
      <c r="I53" s="170"/>
      <c r="J53" s="170"/>
      <c r="K53" s="170"/>
      <c r="L53" s="171"/>
    </row>
    <row r="54" spans="1:12" ht="15" thickBot="1" x14ac:dyDescent="0.25">
      <c r="B54" s="9"/>
      <c r="C54" s="9"/>
      <c r="D54" s="9"/>
      <c r="E54" s="9"/>
      <c r="F54" s="9"/>
      <c r="G54" s="9"/>
      <c r="H54" s="9"/>
      <c r="I54" s="9"/>
      <c r="J54" s="9"/>
      <c r="K54" s="9"/>
      <c r="L54" s="9"/>
    </row>
    <row r="55" spans="1:12" x14ac:dyDescent="0.2">
      <c r="A55" s="2">
        <v>7</v>
      </c>
      <c r="B55" s="10" t="s">
        <v>25</v>
      </c>
      <c r="C55" s="11"/>
      <c r="D55" s="11"/>
      <c r="E55" s="11"/>
      <c r="F55" s="11"/>
      <c r="G55" s="11"/>
      <c r="H55" s="11"/>
      <c r="I55" s="11"/>
      <c r="J55" s="11"/>
      <c r="K55" s="11"/>
      <c r="L55" s="12"/>
    </row>
    <row r="56" spans="1:12" ht="15" thickBot="1" x14ac:dyDescent="0.25">
      <c r="B56" s="17" t="s">
        <v>26</v>
      </c>
      <c r="C56" s="15"/>
      <c r="D56" s="15"/>
      <c r="E56" s="15"/>
      <c r="F56" s="15"/>
      <c r="G56" s="15"/>
      <c r="H56" s="15"/>
      <c r="I56" s="15"/>
      <c r="J56" s="15"/>
      <c r="K56" s="15"/>
      <c r="L56" s="16"/>
    </row>
    <row r="58" spans="1:12" s="1" customFormat="1" ht="15" x14ac:dyDescent="0.25">
      <c r="A58" s="1" t="s">
        <v>27</v>
      </c>
      <c r="B58" s="1" t="s">
        <v>28</v>
      </c>
    </row>
    <row r="59" spans="1:12" ht="15" thickBot="1" x14ac:dyDescent="0.25"/>
    <row r="60" spans="1:12" x14ac:dyDescent="0.2">
      <c r="A60" s="2">
        <v>1</v>
      </c>
      <c r="B60" s="10" t="s">
        <v>29</v>
      </c>
      <c r="C60" s="11"/>
      <c r="D60" s="11"/>
      <c r="E60" s="11"/>
      <c r="F60" s="11"/>
      <c r="G60" s="11"/>
      <c r="H60" s="11"/>
      <c r="I60" s="11"/>
      <c r="J60" s="11"/>
      <c r="K60" s="11"/>
      <c r="L60" s="12"/>
    </row>
    <row r="61" spans="1:12" x14ac:dyDescent="0.2">
      <c r="B61" s="154" t="s">
        <v>30</v>
      </c>
      <c r="C61" s="155"/>
      <c r="D61" s="155"/>
      <c r="E61" s="155"/>
      <c r="F61" s="155"/>
      <c r="G61" s="155"/>
      <c r="H61" s="155"/>
      <c r="I61" s="155"/>
      <c r="J61" s="155"/>
      <c r="K61" s="155"/>
      <c r="L61" s="156"/>
    </row>
    <row r="62" spans="1:12" ht="15" thickBot="1" x14ac:dyDescent="0.25">
      <c r="B62" s="157"/>
      <c r="C62" s="158"/>
      <c r="D62" s="158"/>
      <c r="E62" s="158"/>
      <c r="F62" s="158"/>
      <c r="G62" s="158"/>
      <c r="H62" s="158"/>
      <c r="I62" s="158"/>
      <c r="J62" s="158"/>
      <c r="K62" s="158"/>
      <c r="L62" s="159"/>
    </row>
    <row r="63" spans="1:12" ht="15" thickBot="1" x14ac:dyDescent="0.25"/>
    <row r="64" spans="1:12" x14ac:dyDescent="0.2">
      <c r="A64" s="2">
        <v>2</v>
      </c>
      <c r="B64" s="10" t="s">
        <v>31</v>
      </c>
      <c r="C64" s="11"/>
      <c r="D64" s="11"/>
      <c r="E64" s="11"/>
      <c r="F64" s="11"/>
      <c r="G64" s="11"/>
      <c r="H64" s="11"/>
      <c r="I64" s="11"/>
      <c r="J64" s="11"/>
      <c r="K64" s="11"/>
      <c r="L64" s="12"/>
    </row>
    <row r="65" spans="2:12" x14ac:dyDescent="0.2">
      <c r="B65" s="154" t="s">
        <v>32</v>
      </c>
      <c r="C65" s="155"/>
      <c r="D65" s="155"/>
      <c r="E65" s="155"/>
      <c r="F65" s="155"/>
      <c r="G65" s="155"/>
      <c r="H65" s="155"/>
      <c r="I65" s="155"/>
      <c r="J65" s="155"/>
      <c r="K65" s="155"/>
      <c r="L65" s="156"/>
    </row>
    <row r="66" spans="2:12" ht="2.25" customHeight="1" thickBot="1" x14ac:dyDescent="0.25">
      <c r="B66" s="157"/>
      <c r="C66" s="158"/>
      <c r="D66" s="158"/>
      <c r="E66" s="158"/>
      <c r="F66" s="158"/>
      <c r="G66" s="158"/>
      <c r="H66" s="158"/>
      <c r="I66" s="158"/>
      <c r="J66" s="158"/>
      <c r="K66" s="158"/>
      <c r="L66" s="159"/>
    </row>
  </sheetData>
  <mergeCells count="11">
    <mergeCell ref="B65:L66"/>
    <mergeCell ref="B40:L42"/>
    <mergeCell ref="B12:L13"/>
    <mergeCell ref="B61:L62"/>
    <mergeCell ref="B26:L26"/>
    <mergeCell ref="B27:L27"/>
    <mergeCell ref="B45:L53"/>
    <mergeCell ref="B28:L28"/>
    <mergeCell ref="B33:L33"/>
    <mergeCell ref="B35:L35"/>
    <mergeCell ref="B36:L36"/>
  </mergeCells>
  <phoneticPr fontId="29" type="noConversion"/>
  <pageMargins left="0.70866141732283472" right="0.70866141732283472" top="0.74803149606299213" bottom="0.74803149606299213" header="0.31496062992125984" footer="0.31496062992125984"/>
  <pageSetup paperSize="9" scale="4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09898-05FA-4F68-AF93-257A92A42AC8}">
  <dimension ref="A3:C18"/>
  <sheetViews>
    <sheetView showGridLines="0" workbookViewId="0">
      <selection activeCell="C20" sqref="C20:C21"/>
    </sheetView>
  </sheetViews>
  <sheetFormatPr defaultRowHeight="13.5" x14ac:dyDescent="0.15"/>
  <cols>
    <col min="1" max="1" width="6.625" customWidth="1"/>
    <col min="2" max="2" width="29.125" bestFit="1" customWidth="1"/>
  </cols>
  <sheetData>
    <row r="3" spans="1:3" x14ac:dyDescent="0.15">
      <c r="A3">
        <v>1</v>
      </c>
      <c r="B3" t="s">
        <v>33</v>
      </c>
      <c r="C3" s="64"/>
    </row>
    <row r="5" spans="1:3" ht="14.25" thickBot="1" x14ac:dyDescent="0.2">
      <c r="A5">
        <v>2</v>
      </c>
      <c r="B5" t="s">
        <v>34</v>
      </c>
    </row>
    <row r="6" spans="1:3" ht="14.25" thickBot="1" x14ac:dyDescent="0.2">
      <c r="B6" s="65" t="s">
        <v>35</v>
      </c>
      <c r="C6" s="66" t="s">
        <v>36</v>
      </c>
    </row>
    <row r="7" spans="1:3" x14ac:dyDescent="0.15">
      <c r="B7" s="62" t="s">
        <v>37</v>
      </c>
      <c r="C7" s="67" t="s">
        <v>38</v>
      </c>
    </row>
    <row r="8" spans="1:3" x14ac:dyDescent="0.15">
      <c r="B8" s="68" t="s">
        <v>39</v>
      </c>
      <c r="C8" s="69" t="s">
        <v>38</v>
      </c>
    </row>
    <row r="9" spans="1:3" x14ac:dyDescent="0.15">
      <c r="B9" s="68" t="s">
        <v>40</v>
      </c>
      <c r="C9" s="69" t="s">
        <v>38</v>
      </c>
    </row>
    <row r="10" spans="1:3" x14ac:dyDescent="0.15">
      <c r="B10" s="68" t="s">
        <v>41</v>
      </c>
      <c r="C10" s="69" t="s">
        <v>38</v>
      </c>
    </row>
    <row r="11" spans="1:3" x14ac:dyDescent="0.15">
      <c r="B11" s="68" t="s">
        <v>42</v>
      </c>
      <c r="C11" s="69" t="s">
        <v>38</v>
      </c>
    </row>
    <row r="12" spans="1:3" x14ac:dyDescent="0.15">
      <c r="B12" s="68" t="s">
        <v>43</v>
      </c>
      <c r="C12" s="69" t="s">
        <v>38</v>
      </c>
    </row>
    <row r="13" spans="1:3" x14ac:dyDescent="0.15">
      <c r="B13" s="70" t="s">
        <v>44</v>
      </c>
      <c r="C13" s="71" t="s">
        <v>44</v>
      </c>
    </row>
    <row r="14" spans="1:3" x14ac:dyDescent="0.15">
      <c r="B14" s="70" t="s">
        <v>45</v>
      </c>
      <c r="C14" s="71" t="s">
        <v>44</v>
      </c>
    </row>
    <row r="15" spans="1:3" x14ac:dyDescent="0.15">
      <c r="B15" s="68" t="s">
        <v>46</v>
      </c>
      <c r="C15" s="69" t="s">
        <v>38</v>
      </c>
    </row>
    <row r="16" spans="1:3" x14ac:dyDescent="0.15">
      <c r="B16" s="68" t="s">
        <v>47</v>
      </c>
      <c r="C16" s="69" t="s">
        <v>38</v>
      </c>
    </row>
    <row r="17" spans="2:3" x14ac:dyDescent="0.15">
      <c r="B17" s="68" t="s">
        <v>48</v>
      </c>
      <c r="C17" s="69" t="s">
        <v>38</v>
      </c>
    </row>
    <row r="18" spans="2:3" ht="14.25" thickBot="1" x14ac:dyDescent="0.2">
      <c r="B18" s="63" t="s">
        <v>49</v>
      </c>
      <c r="C18" s="72" t="s">
        <v>38</v>
      </c>
    </row>
  </sheetData>
  <phoneticPr fontId="2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17BB-0106-4BE7-A98F-66E84C126C59}">
  <sheetPr>
    <tabColor theme="3"/>
  </sheetPr>
  <dimension ref="A1:X65"/>
  <sheetViews>
    <sheetView showGridLines="0" tabSelected="1" topLeftCell="A20" workbookViewId="0">
      <selection activeCell="J34" sqref="J34"/>
    </sheetView>
  </sheetViews>
  <sheetFormatPr defaultRowHeight="13.5" outlineLevelRow="1" outlineLevelCol="1" x14ac:dyDescent="0.15"/>
  <cols>
    <col min="1" max="1" width="2" bestFit="1" customWidth="1"/>
    <col min="2" max="2" width="33" customWidth="1"/>
    <col min="3" max="3" width="14.375" style="101" customWidth="1"/>
    <col min="4" max="5" width="12.375" customWidth="1"/>
    <col min="6" max="6" width="13.75" customWidth="1"/>
    <col min="7" max="8" width="12.375" customWidth="1"/>
    <col min="9" max="9" width="11.75" customWidth="1"/>
    <col min="10" max="10" width="29.125" bestFit="1" customWidth="1"/>
    <col min="11" max="11" width="11.625" bestFit="1" customWidth="1"/>
    <col min="14" max="14" width="4.25" bestFit="1" customWidth="1"/>
    <col min="16" max="16" width="8.25" style="111" hidden="1" customWidth="1" outlineLevel="1"/>
    <col min="17" max="17" width="6" style="111" hidden="1" customWidth="1" outlineLevel="1"/>
    <col min="18" max="18" width="8.75" style="111" hidden="1" customWidth="1" outlineLevel="1"/>
    <col min="19" max="19" width="7.75" style="111" hidden="1" customWidth="1" outlineLevel="1"/>
    <col min="20" max="20" width="13.75" style="111" hidden="1" customWidth="1" outlineLevel="1"/>
    <col min="21" max="21" width="10.375" style="111" hidden="1" customWidth="1" outlineLevel="1"/>
    <col min="22" max="22" width="13.75" style="111" hidden="1" customWidth="1" outlineLevel="1"/>
    <col min="23" max="23" width="13" hidden="1" customWidth="1" outlineLevel="1"/>
    <col min="24" max="24" width="9.125" collapsed="1"/>
  </cols>
  <sheetData>
    <row r="1" spans="2:23" ht="14.25" thickBot="1" x14ac:dyDescent="0.2">
      <c r="P1" s="151" t="s">
        <v>50</v>
      </c>
      <c r="Q1" s="151" t="s">
        <v>51</v>
      </c>
      <c r="R1" s="151" t="s">
        <v>52</v>
      </c>
      <c r="S1" s="151" t="s">
        <v>53</v>
      </c>
      <c r="T1" s="151" t="s">
        <v>54</v>
      </c>
      <c r="U1" s="151" t="s">
        <v>55</v>
      </c>
      <c r="V1" s="151" t="s">
        <v>56</v>
      </c>
      <c r="W1" s="151" t="s">
        <v>57</v>
      </c>
    </row>
    <row r="2" spans="2:23" ht="15.75" customHeight="1" x14ac:dyDescent="0.15">
      <c r="B2" s="102" t="s">
        <v>58</v>
      </c>
      <c r="C2" s="73" t="s">
        <v>305</v>
      </c>
      <c r="D2" s="73"/>
      <c r="E2" s="73"/>
      <c r="F2" s="73"/>
      <c r="G2" s="73"/>
      <c r="H2" s="74"/>
      <c r="I2" t="s">
        <v>112</v>
      </c>
      <c r="P2" s="152"/>
      <c r="Q2" s="152"/>
      <c r="R2" s="152"/>
      <c r="S2" s="152"/>
      <c r="T2" s="152"/>
      <c r="U2" s="152"/>
      <c r="V2" s="152"/>
      <c r="W2" s="152"/>
    </row>
    <row r="3" spans="2:23" x14ac:dyDescent="0.15">
      <c r="B3" s="103" t="s">
        <v>59</v>
      </c>
      <c r="C3" s="181" t="s">
        <v>44</v>
      </c>
      <c r="D3" s="182" t="str">
        <f>IFERROR(_xlfn.XLOOKUP(C3,P4:P5,Q4:Q5),"")</f>
        <v>1350</v>
      </c>
      <c r="E3" s="182"/>
      <c r="F3" s="182"/>
      <c r="G3" s="182"/>
      <c r="H3" s="104"/>
      <c r="P3" s="153"/>
      <c r="Q3" s="153" t="s">
        <v>51</v>
      </c>
      <c r="R3" s="153" t="s">
        <v>60</v>
      </c>
      <c r="S3" s="153" t="s">
        <v>53</v>
      </c>
      <c r="T3" s="153" t="s">
        <v>54</v>
      </c>
      <c r="U3" s="153" t="s">
        <v>61</v>
      </c>
      <c r="V3" s="153" t="s">
        <v>62</v>
      </c>
      <c r="W3" s="153" t="s">
        <v>62</v>
      </c>
    </row>
    <row r="4" spans="2:23" ht="15" customHeight="1" x14ac:dyDescent="0.15">
      <c r="B4" s="103" t="s">
        <v>230</v>
      </c>
      <c r="C4" s="182"/>
      <c r="D4" s="183" t="s">
        <v>70</v>
      </c>
      <c r="E4" s="183" t="s">
        <v>63</v>
      </c>
      <c r="F4" s="183" t="s">
        <v>70</v>
      </c>
      <c r="G4" s="183" t="s">
        <v>63</v>
      </c>
      <c r="H4" s="86"/>
      <c r="P4" s="105" t="s">
        <v>44</v>
      </c>
      <c r="Q4" s="106" t="s">
        <v>65</v>
      </c>
      <c r="R4" s="107">
        <f>'Hourly Rate'!F16</f>
        <v>681.98</v>
      </c>
      <c r="S4" s="107">
        <f>'P&amp;L'!D65</f>
        <v>8.0621190050395697</v>
      </c>
      <c r="T4" s="108">
        <f>'P&amp;L'!D69</f>
        <v>0.1255947752239753</v>
      </c>
      <c r="U4" s="107">
        <f>R4*T4</f>
        <v>85.653124807246684</v>
      </c>
      <c r="V4" s="109">
        <f>'P&amp;L'!D68</f>
        <v>9.0531866823590643E-2</v>
      </c>
      <c r="W4" s="109">
        <f>'P&amp;L'!D71</f>
        <v>3.6959988460205047E-2</v>
      </c>
    </row>
    <row r="5" spans="2:23" ht="15" customHeight="1" x14ac:dyDescent="0.15">
      <c r="B5" s="103"/>
      <c r="C5" s="182"/>
      <c r="D5" s="182" t="str">
        <f>D4&amp;$D$3</f>
        <v>21601350</v>
      </c>
      <c r="E5" s="182" t="str">
        <f t="shared" ref="E5:H5" si="0">E4&amp;$D$3</f>
        <v>48201350</v>
      </c>
      <c r="F5" s="182" t="str">
        <f t="shared" si="0"/>
        <v>21601350</v>
      </c>
      <c r="G5" s="182" t="str">
        <f t="shared" si="0"/>
        <v>48201350</v>
      </c>
      <c r="H5" s="104" t="str">
        <f t="shared" si="0"/>
        <v>1350</v>
      </c>
      <c r="P5" s="105" t="s">
        <v>38</v>
      </c>
      <c r="Q5" s="106" t="s">
        <v>67</v>
      </c>
      <c r="R5" s="107">
        <f>'Hourly Rate'!F17</f>
        <v>532.25</v>
      </c>
      <c r="S5" s="107">
        <f>'P&amp;L'!E65</f>
        <v>2.8485584994908839</v>
      </c>
      <c r="T5" s="108">
        <f>'P&amp;L'!E69</f>
        <v>0.13773451694205027</v>
      </c>
      <c r="U5" s="107">
        <f>R5*T5</f>
        <v>73.309196642406263</v>
      </c>
      <c r="V5" s="109">
        <f>'P&amp;L'!D69</f>
        <v>0.1255947752239753</v>
      </c>
      <c r="W5" s="109">
        <f>'P&amp;L'!E71</f>
        <v>0.14867204776308413</v>
      </c>
    </row>
    <row r="6" spans="2:23" ht="15" customHeight="1" x14ac:dyDescent="0.15">
      <c r="B6" s="103"/>
      <c r="C6" s="182"/>
      <c r="D6" s="182" t="s">
        <v>234</v>
      </c>
      <c r="E6" s="182" t="s">
        <v>235</v>
      </c>
      <c r="F6" s="182" t="s">
        <v>236</v>
      </c>
      <c r="G6" s="182" t="s">
        <v>237</v>
      </c>
      <c r="H6" s="104" t="s">
        <v>64</v>
      </c>
      <c r="P6" s="110" t="s">
        <v>69</v>
      </c>
      <c r="Q6" s="110" t="s">
        <v>70</v>
      </c>
      <c r="R6" s="110" t="s">
        <v>63</v>
      </c>
      <c r="S6" s="110" t="s">
        <v>71</v>
      </c>
      <c r="T6" s="110" t="s">
        <v>72</v>
      </c>
      <c r="U6" s="110" t="s">
        <v>73</v>
      </c>
    </row>
    <row r="7" spans="2:23" ht="27" x14ac:dyDescent="0.15">
      <c r="B7" s="103" t="s">
        <v>66</v>
      </c>
      <c r="C7" s="184"/>
      <c r="D7" s="75"/>
      <c r="E7" s="75"/>
      <c r="F7" s="76" t="s">
        <v>306</v>
      </c>
      <c r="G7" s="77"/>
      <c r="H7" s="78"/>
    </row>
    <row r="8" spans="2:23" x14ac:dyDescent="0.15">
      <c r="B8" s="112"/>
      <c r="C8" s="182"/>
      <c r="D8" s="182"/>
      <c r="E8" s="182"/>
      <c r="F8" s="182"/>
      <c r="G8" s="182"/>
      <c r="H8" s="104"/>
    </row>
    <row r="9" spans="2:23" x14ac:dyDescent="0.15">
      <c r="B9" s="103" t="s">
        <v>68</v>
      </c>
      <c r="C9" s="79">
        <f>SUM(D9:H9)</f>
        <v>138000</v>
      </c>
      <c r="D9" s="87"/>
      <c r="E9" s="87"/>
      <c r="F9" s="87">
        <v>138000</v>
      </c>
      <c r="G9" s="87"/>
      <c r="H9" s="125"/>
    </row>
    <row r="10" spans="2:23" x14ac:dyDescent="0.15">
      <c r="B10" s="180" t="s">
        <v>308</v>
      </c>
      <c r="C10" s="79">
        <f>SUM(D10:H10)</f>
        <v>4</v>
      </c>
      <c r="D10" s="87"/>
      <c r="E10" s="87"/>
      <c r="F10" s="87">
        <v>4</v>
      </c>
      <c r="G10" s="87"/>
      <c r="H10" s="125"/>
      <c r="I10" t="s">
        <v>310</v>
      </c>
    </row>
    <row r="11" spans="2:23" x14ac:dyDescent="0.15">
      <c r="B11" s="180" t="s">
        <v>309</v>
      </c>
      <c r="C11" s="79">
        <f>SUM(D11:H11)</f>
        <v>10</v>
      </c>
      <c r="D11" s="87"/>
      <c r="E11" s="87"/>
      <c r="F11" s="87">
        <v>10</v>
      </c>
      <c r="G11" s="87"/>
      <c r="H11" s="125"/>
      <c r="I11" t="s">
        <v>311</v>
      </c>
    </row>
    <row r="12" spans="2:23" x14ac:dyDescent="0.15">
      <c r="B12" s="112" t="s">
        <v>238</v>
      </c>
      <c r="C12" s="79">
        <f>SUM(D12:H12)</f>
        <v>0.5</v>
      </c>
      <c r="D12" s="87">
        <f>IF(D9&gt;0,0.5*D$9/$C$9,0)</f>
        <v>0</v>
      </c>
      <c r="E12" s="87">
        <f t="shared" ref="E12:H12" si="1">IF(E9&gt;0,0.5*E$9/$C$9,0)</f>
        <v>0</v>
      </c>
      <c r="F12" s="87">
        <f>IF(F9&gt;0,0.5*F$9/$C$9,0)</f>
        <v>0.5</v>
      </c>
      <c r="G12" s="87">
        <f t="shared" si="1"/>
        <v>0</v>
      </c>
      <c r="H12" s="145">
        <f t="shared" si="1"/>
        <v>0</v>
      </c>
      <c r="I12" t="s">
        <v>312</v>
      </c>
    </row>
    <row r="13" spans="2:23" x14ac:dyDescent="0.15">
      <c r="B13" s="112" t="s">
        <v>284</v>
      </c>
      <c r="C13" s="79">
        <f>SUM(D13:H13)</f>
        <v>0.4</v>
      </c>
      <c r="D13" s="87">
        <f>D10*0.1</f>
        <v>0</v>
      </c>
      <c r="E13" s="87">
        <f t="shared" ref="E13:H13" si="2">E10*0.1</f>
        <v>0</v>
      </c>
      <c r="F13" s="87">
        <f t="shared" si="2"/>
        <v>0.4</v>
      </c>
      <c r="G13" s="87">
        <f t="shared" si="2"/>
        <v>0</v>
      </c>
      <c r="H13" s="145">
        <f t="shared" si="2"/>
        <v>0</v>
      </c>
      <c r="I13" t="s">
        <v>313</v>
      </c>
    </row>
    <row r="14" spans="2:23" x14ac:dyDescent="0.15">
      <c r="B14" s="112" t="s">
        <v>74</v>
      </c>
      <c r="C14" s="79">
        <f>SUM(D14:H14)</f>
        <v>14.9</v>
      </c>
      <c r="D14" s="113">
        <f t="shared" ref="D14:E14" si="3">D10+D12+D13+D11</f>
        <v>0</v>
      </c>
      <c r="E14" s="113">
        <f t="shared" si="3"/>
        <v>0</v>
      </c>
      <c r="F14" s="113">
        <f>F10+F12+F13+F11</f>
        <v>14.9</v>
      </c>
      <c r="G14" s="113">
        <f t="shared" ref="G14:H14" si="4">G10+G12+G13+G11</f>
        <v>0</v>
      </c>
      <c r="H14" s="114">
        <f t="shared" si="4"/>
        <v>0</v>
      </c>
    </row>
    <row r="15" spans="2:23" x14ac:dyDescent="0.15">
      <c r="B15" s="112" t="s">
        <v>231</v>
      </c>
      <c r="C15" s="182"/>
      <c r="D15" s="185">
        <f>IF(D$4="2160",80%,0)</f>
        <v>0.8</v>
      </c>
      <c r="E15" s="185">
        <f t="shared" ref="E15:H15" si="5">IF(E$4="2160",80%,0)</f>
        <v>0</v>
      </c>
      <c r="F15" s="185">
        <f t="shared" si="5"/>
        <v>0.8</v>
      </c>
      <c r="G15" s="185">
        <f t="shared" si="5"/>
        <v>0</v>
      </c>
      <c r="H15" s="115">
        <f t="shared" si="5"/>
        <v>0</v>
      </c>
    </row>
    <row r="16" spans="2:23" x14ac:dyDescent="0.15">
      <c r="B16" s="112" t="s">
        <v>75</v>
      </c>
      <c r="C16" s="80">
        <f>SUM(D16:H16)</f>
        <v>119.2</v>
      </c>
      <c r="D16" s="113">
        <f>D14*8</f>
        <v>0</v>
      </c>
      <c r="E16" s="113">
        <f t="shared" ref="E16:H16" si="6">E14*8</f>
        <v>0</v>
      </c>
      <c r="F16" s="113">
        <f t="shared" si="6"/>
        <v>119.2</v>
      </c>
      <c r="G16" s="113">
        <f t="shared" si="6"/>
        <v>0</v>
      </c>
      <c r="H16" s="114">
        <f t="shared" si="6"/>
        <v>0</v>
      </c>
      <c r="J16" s="116"/>
    </row>
    <row r="17" spans="1:9" x14ac:dyDescent="0.15">
      <c r="B17" s="112"/>
      <c r="C17" s="80"/>
      <c r="D17" s="80"/>
      <c r="E17" s="80"/>
      <c r="F17" s="80"/>
      <c r="G17" s="80"/>
      <c r="H17" s="60"/>
    </row>
    <row r="18" spans="1:9" x14ac:dyDescent="0.15">
      <c r="A18" t="s">
        <v>76</v>
      </c>
      <c r="B18" s="112" t="s">
        <v>77</v>
      </c>
      <c r="C18" s="80">
        <f t="shared" ref="C18:C24" si="7">SUM(D18:H18)</f>
        <v>15000</v>
      </c>
      <c r="D18" s="84"/>
      <c r="E18" s="84"/>
      <c r="F18" s="84">
        <v>15000</v>
      </c>
      <c r="G18" s="84"/>
      <c r="H18" s="85"/>
    </row>
    <row r="19" spans="1:9" x14ac:dyDescent="0.15">
      <c r="A19" t="s">
        <v>76</v>
      </c>
      <c r="B19" s="112" t="s">
        <v>78</v>
      </c>
      <c r="C19" s="80">
        <f t="shared" si="7"/>
        <v>20000</v>
      </c>
      <c r="D19" s="84"/>
      <c r="E19" s="84"/>
      <c r="F19" s="84">
        <v>20000</v>
      </c>
      <c r="G19" s="84"/>
      <c r="H19" s="85"/>
    </row>
    <row r="20" spans="1:9" x14ac:dyDescent="0.15">
      <c r="A20" t="s">
        <v>76</v>
      </c>
      <c r="B20" s="112" t="s">
        <v>79</v>
      </c>
      <c r="C20" s="80">
        <f t="shared" si="7"/>
        <v>5000</v>
      </c>
      <c r="D20" s="84"/>
      <c r="E20" s="84"/>
      <c r="F20" s="84">
        <v>5000</v>
      </c>
      <c r="G20" s="84"/>
      <c r="H20" s="126"/>
    </row>
    <row r="21" spans="1:9" x14ac:dyDescent="0.15">
      <c r="A21" t="s">
        <v>76</v>
      </c>
      <c r="B21" s="112" t="s">
        <v>80</v>
      </c>
      <c r="C21" s="80">
        <f t="shared" ref="C21" si="8">SUM(D21:H21)</f>
        <v>0</v>
      </c>
      <c r="D21" s="84"/>
      <c r="E21" s="84"/>
      <c r="F21" s="84"/>
      <c r="G21" s="84"/>
      <c r="H21" s="85"/>
    </row>
    <row r="22" spans="1:9" x14ac:dyDescent="0.15">
      <c r="A22" t="s">
        <v>76</v>
      </c>
      <c r="B22" s="112" t="s">
        <v>90</v>
      </c>
      <c r="C22" s="80">
        <f>SUM(D22:H22)</f>
        <v>0</v>
      </c>
      <c r="D22" s="84"/>
      <c r="E22" s="84"/>
      <c r="F22" s="84"/>
      <c r="G22" s="84"/>
      <c r="H22" s="85"/>
      <c r="I22" t="s">
        <v>240</v>
      </c>
    </row>
    <row r="23" spans="1:9" x14ac:dyDescent="0.15">
      <c r="A23" t="s">
        <v>76</v>
      </c>
      <c r="B23" s="112" t="s">
        <v>81</v>
      </c>
      <c r="C23" s="80">
        <f t="shared" si="7"/>
        <v>0</v>
      </c>
      <c r="D23" s="84"/>
      <c r="E23" s="84"/>
      <c r="F23" s="84"/>
      <c r="G23" s="84"/>
      <c r="H23" s="85"/>
      <c r="I23" t="s">
        <v>239</v>
      </c>
    </row>
    <row r="24" spans="1:9" x14ac:dyDescent="0.15">
      <c r="B24" s="112" t="s">
        <v>82</v>
      </c>
      <c r="C24" s="80">
        <f t="shared" si="7"/>
        <v>98000</v>
      </c>
      <c r="D24" s="80">
        <f>D9-SUM(D18:D23)</f>
        <v>0</v>
      </c>
      <c r="E24" s="80">
        <f>E9-SUM(E18:E23)</f>
        <v>0</v>
      </c>
      <c r="F24" s="80">
        <f>F9-SUM(F18:F23)</f>
        <v>98000</v>
      </c>
      <c r="G24" s="80">
        <f>G9-SUM(G18:G23)</f>
        <v>0</v>
      </c>
      <c r="H24" s="60">
        <f>H9-SUM(H18:H23)</f>
        <v>0</v>
      </c>
    </row>
    <row r="25" spans="1:9" x14ac:dyDescent="0.15">
      <c r="B25" s="112" t="s">
        <v>85</v>
      </c>
      <c r="C25" s="80">
        <f>SUM(D25:H25)</f>
        <v>0</v>
      </c>
      <c r="D25" s="84"/>
      <c r="E25" s="84"/>
      <c r="F25" s="84"/>
      <c r="G25" s="84"/>
      <c r="H25" s="85"/>
    </row>
    <row r="26" spans="1:9" x14ac:dyDescent="0.15">
      <c r="B26" s="112" t="s">
        <v>83</v>
      </c>
      <c r="C26" s="80">
        <f>SUM(D26:H26)</f>
        <v>81292.016000000003</v>
      </c>
      <c r="D26" s="80">
        <f>D16*D37</f>
        <v>0</v>
      </c>
      <c r="E26" s="80">
        <f>E16*E37</f>
        <v>0</v>
      </c>
      <c r="F26" s="80">
        <f>F16*F37</f>
        <v>81292.016000000003</v>
      </c>
      <c r="G26" s="80">
        <f>G16*G37</f>
        <v>0</v>
      </c>
      <c r="H26" s="60">
        <f>H16*H37</f>
        <v>0</v>
      </c>
    </row>
    <row r="27" spans="1:9" x14ac:dyDescent="0.15">
      <c r="B27" s="112" t="s">
        <v>285</v>
      </c>
      <c r="C27" s="80">
        <f>SUM(D27:H27)</f>
        <v>16707.983999999997</v>
      </c>
      <c r="D27" s="80">
        <f>D24-D25-D26</f>
        <v>0</v>
      </c>
      <c r="E27" s="80">
        <f t="shared" ref="E27:H27" si="9">E24-E25-E26</f>
        <v>0</v>
      </c>
      <c r="F27" s="80">
        <f>F24-F25-F26</f>
        <v>16707.983999999997</v>
      </c>
      <c r="G27" s="80">
        <f t="shared" si="9"/>
        <v>0</v>
      </c>
      <c r="H27" s="60">
        <f t="shared" si="9"/>
        <v>0</v>
      </c>
    </row>
    <row r="28" spans="1:9" x14ac:dyDescent="0.15">
      <c r="B28" s="103" t="s">
        <v>286</v>
      </c>
      <c r="C28" s="121">
        <f>IFERROR(C27/C9,0)</f>
        <v>0.12107234782608693</v>
      </c>
      <c r="D28" s="122">
        <f>IFERROR(D27/D9,0)</f>
        <v>0</v>
      </c>
      <c r="E28" s="122">
        <f t="shared" ref="E28:H28" si="10">IFERROR(E27/E9,0)</f>
        <v>0</v>
      </c>
      <c r="F28" s="122">
        <f>IFERROR(F27/F9,0)</f>
        <v>0.12107234782608693</v>
      </c>
      <c r="G28" s="122">
        <f t="shared" si="10"/>
        <v>0</v>
      </c>
      <c r="H28" s="123">
        <f t="shared" si="10"/>
        <v>0</v>
      </c>
    </row>
    <row r="29" spans="1:9" x14ac:dyDescent="0.15">
      <c r="B29" s="112" t="s">
        <v>84</v>
      </c>
      <c r="C29" s="80">
        <f>SUM(D29:H29)</f>
        <v>2283.5451446317038</v>
      </c>
      <c r="D29" s="80">
        <f>IF(D44&lt;0,0,D44)</f>
        <v>0</v>
      </c>
      <c r="E29" s="80">
        <f>IF(E44&lt;0,0,E44)</f>
        <v>0</v>
      </c>
      <c r="F29" s="80">
        <f>IF(F44&lt;0,0,F44)</f>
        <v>2283.5451446317038</v>
      </c>
      <c r="G29" s="80">
        <f t="shared" ref="F29:H29" si="11">IF(G44&lt;0,0,G44)</f>
        <v>0</v>
      </c>
      <c r="H29" s="60">
        <f t="shared" si="11"/>
        <v>0</v>
      </c>
    </row>
    <row r="30" spans="1:9" x14ac:dyDescent="0.15">
      <c r="B30" s="112" t="s">
        <v>86</v>
      </c>
      <c r="C30" s="80">
        <f>C24-SUM(C25,C26,C29)</f>
        <v>14424.438855368295</v>
      </c>
      <c r="D30" s="80">
        <f>D24-SUM(D25,D26,D29)</f>
        <v>0</v>
      </c>
      <c r="E30" s="80">
        <f t="shared" ref="E30:H30" si="12">E24-SUM(E25,E26,E29)</f>
        <v>0</v>
      </c>
      <c r="F30" s="80">
        <f t="shared" si="12"/>
        <v>14424.438855368295</v>
      </c>
      <c r="G30" s="80">
        <f t="shared" si="12"/>
        <v>0</v>
      </c>
      <c r="H30" s="60">
        <f t="shared" si="12"/>
        <v>0</v>
      </c>
    </row>
    <row r="31" spans="1:9" x14ac:dyDescent="0.15">
      <c r="B31" s="103" t="s">
        <v>87</v>
      </c>
      <c r="C31" s="121">
        <f t="shared" ref="C31:H31" si="13">IFERROR(C30/(C9),0)</f>
        <v>0.10452491924179924</v>
      </c>
      <c r="D31" s="122">
        <f t="shared" si="13"/>
        <v>0</v>
      </c>
      <c r="E31" s="122">
        <f t="shared" si="13"/>
        <v>0</v>
      </c>
      <c r="F31" s="122">
        <f t="shared" si="13"/>
        <v>0.10452491924179924</v>
      </c>
      <c r="G31" s="122">
        <f t="shared" si="13"/>
        <v>0</v>
      </c>
      <c r="H31" s="123">
        <f t="shared" si="13"/>
        <v>0</v>
      </c>
    </row>
    <row r="32" spans="1:9" x14ac:dyDescent="0.15">
      <c r="B32" s="112" t="s">
        <v>88</v>
      </c>
      <c r="C32" s="146">
        <f>IFERROR(VLOOKUP($D$3,$Q$4:$S$5,3,0),0)/100</f>
        <v>8.0621190050395697E-2</v>
      </c>
      <c r="D32" s="182"/>
      <c r="E32" s="182"/>
      <c r="F32" s="182"/>
      <c r="G32" s="182"/>
      <c r="H32" s="104"/>
    </row>
    <row r="33" spans="1:22" ht="14.25" thickBot="1" x14ac:dyDescent="0.2">
      <c r="B33" s="118" t="s">
        <v>307</v>
      </c>
      <c r="C33" s="134">
        <f>IFERROR(SUM(C18:C22)/C9,"")</f>
        <v>0.28985507246376813</v>
      </c>
      <c r="D33" s="134" t="str">
        <f t="shared" ref="D33:H33" si="14">IFERROR(SUM(D18:D22)/D9,"")</f>
        <v/>
      </c>
      <c r="E33" s="134" t="str">
        <f t="shared" si="14"/>
        <v/>
      </c>
      <c r="F33" s="134">
        <f t="shared" si="14"/>
        <v>0.28985507246376813</v>
      </c>
      <c r="G33" s="134" t="str">
        <f t="shared" si="14"/>
        <v/>
      </c>
      <c r="H33" s="147" t="str">
        <f t="shared" si="14"/>
        <v/>
      </c>
    </row>
    <row r="34" spans="1:22" s="143" customFormat="1" ht="15.75" thickBot="1" x14ac:dyDescent="0.3">
      <c r="A34" s="139"/>
      <c r="B34" s="140" t="s">
        <v>304</v>
      </c>
      <c r="C34" s="141"/>
      <c r="D34" s="141"/>
      <c r="E34" s="141"/>
      <c r="F34" s="141"/>
      <c r="G34" s="141"/>
      <c r="H34" s="142"/>
    </row>
    <row r="35" spans="1:22" s="143" customFormat="1" ht="54.75" customHeight="1" thickBot="1" x14ac:dyDescent="0.25">
      <c r="A35" s="144"/>
      <c r="B35" s="148"/>
      <c r="C35" s="149"/>
      <c r="D35" s="149"/>
      <c r="E35" s="149"/>
      <c r="F35" s="149"/>
      <c r="G35" s="149"/>
      <c r="H35" s="150"/>
    </row>
    <row r="36" spans="1:22" ht="14.25" thickBot="1" x14ac:dyDescent="0.2">
      <c r="C36"/>
      <c r="P36"/>
      <c r="Q36"/>
      <c r="R36"/>
      <c r="S36"/>
      <c r="T36"/>
      <c r="U36"/>
      <c r="V36"/>
    </row>
    <row r="37" spans="1:22" outlineLevel="1" x14ac:dyDescent="0.15">
      <c r="B37" s="129" t="s">
        <v>91</v>
      </c>
      <c r="C37" s="130"/>
      <c r="D37" s="131">
        <f>IFERROR(VLOOKUP($D$3,$Q$4:$R$5,2,0),0)</f>
        <v>681.98</v>
      </c>
      <c r="E37" s="131">
        <f>IFERROR(VLOOKUP($D$3,$Q$4:$R$5,2,0),0)</f>
        <v>681.98</v>
      </c>
      <c r="F37" s="131">
        <f>IFERROR(VLOOKUP($D$3,$Q$4:$R$5,2,0),0)</f>
        <v>681.98</v>
      </c>
      <c r="G37" s="131">
        <f>IFERROR(VLOOKUP($D$3,$Q$4:$R$5,2,0),0)</f>
        <v>681.98</v>
      </c>
      <c r="H37" s="132">
        <f>IFERROR(VLOOKUP($D$3,$Q$4:$R$5,2,0),0)</f>
        <v>681.98</v>
      </c>
    </row>
    <row r="38" spans="1:22" outlineLevel="1" x14ac:dyDescent="0.15">
      <c r="B38" s="112" t="s">
        <v>55</v>
      </c>
      <c r="C38" s="79"/>
      <c r="D38" s="80">
        <f>IFERROR(VLOOKUP($D$3,$Q$4:$U$5,5,0),0)</f>
        <v>85.653124807246684</v>
      </c>
      <c r="E38" s="80">
        <f>IFERROR(VLOOKUP($D$3,$Q$4:$U$5,5,0),0)</f>
        <v>85.653124807246684</v>
      </c>
      <c r="F38" s="80">
        <f>IFERROR(VLOOKUP($D$3,$Q$4:$U$5,5,0),0)</f>
        <v>85.653124807246684</v>
      </c>
      <c r="G38" s="80">
        <f>IFERROR(VLOOKUP($D$3,$Q$4:$U$5,5,0),0)</f>
        <v>85.653124807246684</v>
      </c>
      <c r="H38" s="60">
        <f>IFERROR(VLOOKUP($D$3,$Q$4:$U$5,5,0),0)</f>
        <v>85.653124807246684</v>
      </c>
    </row>
    <row r="39" spans="1:22" outlineLevel="1" x14ac:dyDescent="0.15">
      <c r="B39" s="112" t="s">
        <v>92</v>
      </c>
      <c r="C39" s="79"/>
      <c r="D39" s="81">
        <f>IFERROR(VLOOKUP($D$3,$Q$4:$V$5,6,0),0)</f>
        <v>9.0531866823590643E-2</v>
      </c>
      <c r="E39" s="81">
        <f>IFERROR(VLOOKUP($D$3,$Q$4:$V$5,6,0),0)</f>
        <v>9.0531866823590643E-2</v>
      </c>
      <c r="F39" s="81">
        <f>IFERROR(VLOOKUP($D$3,$Q$4:$V$5,6,0),0)</f>
        <v>9.0531866823590643E-2</v>
      </c>
      <c r="G39" s="81">
        <f>IFERROR(VLOOKUP($D$3,$Q$4:$V$5,6,0),0)</f>
        <v>9.0531866823590643E-2</v>
      </c>
      <c r="H39" s="82">
        <f>IFERROR(VLOOKUP($D$3,$Q$4:$V$5,6,0),0)</f>
        <v>9.0531866823590643E-2</v>
      </c>
    </row>
    <row r="40" spans="1:22" outlineLevel="1" x14ac:dyDescent="0.15">
      <c r="B40" s="112" t="s">
        <v>93</v>
      </c>
      <c r="C40" s="79"/>
      <c r="D40" s="81"/>
      <c r="E40" s="81"/>
      <c r="F40" s="81"/>
      <c r="G40" s="81"/>
      <c r="H40" s="82"/>
    </row>
    <row r="41" spans="1:22" outlineLevel="1" x14ac:dyDescent="0.15">
      <c r="B41" s="112" t="s">
        <v>232</v>
      </c>
      <c r="C41" s="79"/>
      <c r="D41" s="80">
        <f>D9*D39</f>
        <v>0</v>
      </c>
      <c r="E41" s="80">
        <f>E9*E39</f>
        <v>0</v>
      </c>
      <c r="F41" s="80">
        <f>F9*F39</f>
        <v>12493.397621655509</v>
      </c>
      <c r="G41" s="80">
        <f>G9*G39</f>
        <v>0</v>
      </c>
      <c r="H41" s="60">
        <f>H9*H39</f>
        <v>0</v>
      </c>
    </row>
    <row r="42" spans="1:22" outlineLevel="1" x14ac:dyDescent="0.15">
      <c r="B42" s="112" t="s">
        <v>233</v>
      </c>
      <c r="C42" s="79"/>
      <c r="D42" s="80">
        <f>D9*D15*D40</f>
        <v>0</v>
      </c>
      <c r="E42" s="80">
        <f>E9*E15*E40</f>
        <v>0</v>
      </c>
      <c r="F42" s="80">
        <f>F9*F15*F40</f>
        <v>0</v>
      </c>
      <c r="G42" s="80">
        <f>G9*G15*G40</f>
        <v>0</v>
      </c>
      <c r="H42" s="60">
        <f>H9*H15*H40</f>
        <v>0</v>
      </c>
    </row>
    <row r="43" spans="1:22" outlineLevel="1" x14ac:dyDescent="0.15">
      <c r="B43" s="112" t="s">
        <v>94</v>
      </c>
      <c r="C43" s="79"/>
      <c r="D43" s="138">
        <f>D16*D38</f>
        <v>0</v>
      </c>
      <c r="E43" s="138">
        <f>E16*E38</f>
        <v>0</v>
      </c>
      <c r="F43" s="116">
        <f>F16*F38</f>
        <v>10209.852477023805</v>
      </c>
      <c r="G43" s="116">
        <f>G16*G38</f>
        <v>0</v>
      </c>
      <c r="H43" s="117">
        <f>H16*H38</f>
        <v>0</v>
      </c>
    </row>
    <row r="44" spans="1:22" ht="14.25" outlineLevel="1" thickBot="1" x14ac:dyDescent="0.2">
      <c r="B44" s="118" t="s">
        <v>95</v>
      </c>
      <c r="C44" s="83"/>
      <c r="D44" s="119">
        <f>IF(D$4="2160",D41+D42-D43,D41-D43)</f>
        <v>0</v>
      </c>
      <c r="E44" s="119">
        <f t="shared" ref="E44:H44" si="15">IF(E$4="2160",E41+E42-E43,E41-E43)</f>
        <v>0</v>
      </c>
      <c r="F44" s="119">
        <f>IF(F$4="2160",F41+F42-F43,F41-F43)</f>
        <v>2283.5451446317038</v>
      </c>
      <c r="G44" s="119">
        <f t="shared" si="15"/>
        <v>0</v>
      </c>
      <c r="H44" s="120">
        <f t="shared" si="15"/>
        <v>0</v>
      </c>
    </row>
    <row r="45" spans="1:22" x14ac:dyDescent="0.15">
      <c r="C45"/>
    </row>
    <row r="46" spans="1:22" x14ac:dyDescent="0.15">
      <c r="B46" t="s">
        <v>301</v>
      </c>
    </row>
    <row r="47" spans="1:22" ht="14.25" thickBot="1" x14ac:dyDescent="0.2">
      <c r="B47" t="s">
        <v>302</v>
      </c>
      <c r="D47" s="124"/>
    </row>
    <row r="48" spans="1:22" x14ac:dyDescent="0.15">
      <c r="B48" s="129" t="str">
        <f>B37</f>
        <v>Hourly Rate</v>
      </c>
      <c r="C48" s="130"/>
      <c r="D48" s="131">
        <v>573.85663307273853</v>
      </c>
      <c r="E48" s="131">
        <v>573.85663307273853</v>
      </c>
      <c r="F48" s="131">
        <v>573.85663307273853</v>
      </c>
      <c r="G48" s="131">
        <v>573.85663307273853</v>
      </c>
      <c r="H48" s="132">
        <v>573.85663307273853</v>
      </c>
    </row>
    <row r="49" spans="2:10" x14ac:dyDescent="0.15">
      <c r="B49" s="112" t="s">
        <v>83</v>
      </c>
      <c r="C49" s="80">
        <f>SUM(D49:H49)</f>
        <v>68403.71066227043</v>
      </c>
      <c r="D49" s="124">
        <f>D16*D48</f>
        <v>0</v>
      </c>
      <c r="E49" s="124">
        <f>E16*E48</f>
        <v>0</v>
      </c>
      <c r="F49" s="124">
        <f>F16*F48</f>
        <v>68403.71066227043</v>
      </c>
      <c r="G49" s="124">
        <f>G16*G48</f>
        <v>0</v>
      </c>
      <c r="H49" s="133">
        <f>H16*H48</f>
        <v>0</v>
      </c>
    </row>
    <row r="50" spans="2:10" x14ac:dyDescent="0.15">
      <c r="B50" s="112" t="s">
        <v>285</v>
      </c>
      <c r="C50" s="80">
        <f>SUM(D50:H50)</f>
        <v>29596.28933772957</v>
      </c>
      <c r="D50" s="80">
        <f>D24-D25-D49</f>
        <v>0</v>
      </c>
      <c r="E50" s="80">
        <f>E24-E25-E49</f>
        <v>0</v>
      </c>
      <c r="F50" s="80">
        <f>F24-F25-F49</f>
        <v>29596.28933772957</v>
      </c>
      <c r="G50" s="80">
        <f>G24-G25-G49</f>
        <v>0</v>
      </c>
      <c r="H50" s="60">
        <f>H24-H25-H49</f>
        <v>0</v>
      </c>
    </row>
    <row r="51" spans="2:10" x14ac:dyDescent="0.15">
      <c r="B51" s="103" t="s">
        <v>286</v>
      </c>
      <c r="C51" s="121">
        <f t="shared" ref="C51:H51" si="16">IFERROR(C50/C9,0)</f>
        <v>0.21446586476615631</v>
      </c>
      <c r="D51" s="122">
        <f t="shared" si="16"/>
        <v>0</v>
      </c>
      <c r="E51" s="122">
        <f t="shared" si="16"/>
        <v>0</v>
      </c>
      <c r="F51" s="122">
        <f t="shared" si="16"/>
        <v>0.21446586476615631</v>
      </c>
      <c r="G51" s="122">
        <f t="shared" si="16"/>
        <v>0</v>
      </c>
      <c r="H51" s="123">
        <f t="shared" si="16"/>
        <v>0</v>
      </c>
    </row>
    <row r="52" spans="2:10" x14ac:dyDescent="0.15">
      <c r="B52" s="112" t="s">
        <v>84</v>
      </c>
      <c r="C52" s="80">
        <f t="shared" ref="C52:H52" si="17">C29</f>
        <v>2283.5451446317038</v>
      </c>
      <c r="D52" s="80">
        <f t="shared" si="17"/>
        <v>0</v>
      </c>
      <c r="E52" s="80">
        <f t="shared" si="17"/>
        <v>0</v>
      </c>
      <c r="F52" s="80">
        <f t="shared" si="17"/>
        <v>2283.5451446317038</v>
      </c>
      <c r="G52" s="80">
        <f t="shared" si="17"/>
        <v>0</v>
      </c>
      <c r="H52" s="60">
        <f t="shared" si="17"/>
        <v>0</v>
      </c>
    </row>
    <row r="53" spans="2:10" x14ac:dyDescent="0.15">
      <c r="B53" s="112" t="s">
        <v>86</v>
      </c>
      <c r="C53" s="80">
        <f t="shared" ref="C53:H53" si="18">C24-SUM(C25,C49,C52)</f>
        <v>27312.744193097868</v>
      </c>
      <c r="D53" s="80">
        <f t="shared" si="18"/>
        <v>0</v>
      </c>
      <c r="E53" s="80">
        <f t="shared" si="18"/>
        <v>0</v>
      </c>
      <c r="F53" s="80">
        <f t="shared" si="18"/>
        <v>27312.744193097868</v>
      </c>
      <c r="G53" s="80">
        <f t="shared" si="18"/>
        <v>0</v>
      </c>
      <c r="H53" s="60">
        <f t="shared" si="18"/>
        <v>0</v>
      </c>
      <c r="I53" s="137"/>
    </row>
    <row r="54" spans="2:10" x14ac:dyDescent="0.15">
      <c r="B54" s="103" t="s">
        <v>87</v>
      </c>
      <c r="C54" s="121">
        <f t="shared" ref="C54:H54" si="19">IFERROR(C53/(C9),0)</f>
        <v>0.19791843618186861</v>
      </c>
      <c r="D54" s="122">
        <f t="shared" si="19"/>
        <v>0</v>
      </c>
      <c r="E54" s="122">
        <f t="shared" si="19"/>
        <v>0</v>
      </c>
      <c r="F54" s="122">
        <f t="shared" si="19"/>
        <v>0.19791843618186861</v>
      </c>
      <c r="G54" s="122">
        <f t="shared" si="19"/>
        <v>0</v>
      </c>
      <c r="H54" s="123">
        <f t="shared" si="19"/>
        <v>0</v>
      </c>
    </row>
    <row r="55" spans="2:10" ht="14.25" thickBot="1" x14ac:dyDescent="0.2">
      <c r="B55" s="118" t="s">
        <v>88</v>
      </c>
      <c r="C55" s="134">
        <f>IFERROR(VLOOKUP($D$3,$Q$4:$S$5,3,0),0)/100</f>
        <v>8.0621190050395697E-2</v>
      </c>
      <c r="D55" s="135"/>
      <c r="E55" s="135"/>
      <c r="F55" s="135"/>
      <c r="G55" s="135"/>
      <c r="H55" s="136"/>
    </row>
    <row r="57" spans="2:10" ht="14.25" thickBot="1" x14ac:dyDescent="0.2">
      <c r="B57" t="s">
        <v>303</v>
      </c>
    </row>
    <row r="58" spans="2:10" x14ac:dyDescent="0.15">
      <c r="B58" s="129" t="s">
        <v>91</v>
      </c>
      <c r="C58" s="130"/>
      <c r="D58" s="131">
        <v>502.12455393864616</v>
      </c>
      <c r="E58" s="131">
        <v>502.12455393864616</v>
      </c>
      <c r="F58" s="131">
        <v>502.12455393864616</v>
      </c>
      <c r="G58" s="131">
        <v>502.12455393864616</v>
      </c>
      <c r="H58" s="132">
        <v>502.12455393864616</v>
      </c>
    </row>
    <row r="59" spans="2:10" x14ac:dyDescent="0.15">
      <c r="B59" s="112" t="s">
        <v>83</v>
      </c>
      <c r="C59" s="80">
        <f>SUM(D59:H59)</f>
        <v>59853.246829486627</v>
      </c>
      <c r="D59" s="124">
        <f>D16*D58</f>
        <v>0</v>
      </c>
      <c r="E59" s="124">
        <f>E16*E58</f>
        <v>0</v>
      </c>
      <c r="F59" s="124">
        <f>F16*F58</f>
        <v>59853.246829486627</v>
      </c>
      <c r="G59" s="124">
        <f>G16*G58</f>
        <v>0</v>
      </c>
      <c r="H59" s="133">
        <f>H16*H58</f>
        <v>0</v>
      </c>
    </row>
    <row r="60" spans="2:10" x14ac:dyDescent="0.15">
      <c r="B60" s="112" t="s">
        <v>285</v>
      </c>
      <c r="C60" s="80">
        <f>SUM(D60:H60)</f>
        <v>38146.753170513373</v>
      </c>
      <c r="D60" s="80">
        <f>D24-D25-D59</f>
        <v>0</v>
      </c>
      <c r="E60" s="80">
        <f>E24-E25-E59</f>
        <v>0</v>
      </c>
      <c r="F60" s="80">
        <f>F24-F25-F59</f>
        <v>38146.753170513373</v>
      </c>
      <c r="G60" s="80">
        <f>G24-G25-G59</f>
        <v>0</v>
      </c>
      <c r="H60" s="60">
        <f>H24-H25-H59</f>
        <v>0</v>
      </c>
    </row>
    <row r="61" spans="2:10" x14ac:dyDescent="0.15">
      <c r="B61" s="103" t="s">
        <v>286</v>
      </c>
      <c r="C61" s="121">
        <f>IFERROR(C60/C$9,0)</f>
        <v>0.27642574761241573</v>
      </c>
      <c r="D61" s="122">
        <f t="shared" ref="D61:H61" si="20">IFERROR(D60/D$9,0)</f>
        <v>0</v>
      </c>
      <c r="E61" s="122">
        <f t="shared" si="20"/>
        <v>0</v>
      </c>
      <c r="F61" s="122">
        <f t="shared" si="20"/>
        <v>0.27642574761241573</v>
      </c>
      <c r="G61" s="122">
        <f t="shared" si="20"/>
        <v>0</v>
      </c>
      <c r="H61" s="123">
        <f t="shared" si="20"/>
        <v>0</v>
      </c>
    </row>
    <row r="62" spans="2:10" x14ac:dyDescent="0.15">
      <c r="B62" s="112" t="s">
        <v>84</v>
      </c>
      <c r="C62" s="80">
        <f t="shared" ref="C62:H62" si="21">C29</f>
        <v>2283.5451446317038</v>
      </c>
      <c r="D62" s="80">
        <f t="shared" si="21"/>
        <v>0</v>
      </c>
      <c r="E62" s="80">
        <f t="shared" si="21"/>
        <v>0</v>
      </c>
      <c r="F62" s="80">
        <f t="shared" si="21"/>
        <v>2283.5451446317038</v>
      </c>
      <c r="G62" s="80">
        <f t="shared" si="21"/>
        <v>0</v>
      </c>
      <c r="H62" s="60">
        <f t="shared" si="21"/>
        <v>0</v>
      </c>
    </row>
    <row r="63" spans="2:10" x14ac:dyDescent="0.15">
      <c r="B63" s="112" t="s">
        <v>86</v>
      </c>
      <c r="C63" s="80">
        <f t="shared" ref="C63:H63" si="22">C24-SUM(C25,C59,C62)</f>
        <v>35863.208025881671</v>
      </c>
      <c r="D63" s="80">
        <f t="shared" si="22"/>
        <v>0</v>
      </c>
      <c r="E63" s="80">
        <f t="shared" si="22"/>
        <v>0</v>
      </c>
      <c r="F63" s="80">
        <f t="shared" si="22"/>
        <v>35863.208025881671</v>
      </c>
      <c r="G63" s="80">
        <f t="shared" si="22"/>
        <v>0</v>
      </c>
      <c r="H63" s="60">
        <f t="shared" si="22"/>
        <v>0</v>
      </c>
    </row>
    <row r="64" spans="2:10" x14ac:dyDescent="0.15">
      <c r="B64" s="103" t="s">
        <v>87</v>
      </c>
      <c r="C64" s="121">
        <f>IFERROR(C63/(C$9),0)</f>
        <v>0.25987831902812808</v>
      </c>
      <c r="D64" s="122">
        <f t="shared" ref="D64:H64" si="23">IFERROR(D63/(D$9),0)</f>
        <v>0</v>
      </c>
      <c r="E64" s="122">
        <f t="shared" si="23"/>
        <v>0</v>
      </c>
      <c r="F64" s="122">
        <f t="shared" si="23"/>
        <v>0.25987831902812808</v>
      </c>
      <c r="G64" s="122">
        <f t="shared" si="23"/>
        <v>0</v>
      </c>
      <c r="H64" s="123">
        <f t="shared" si="23"/>
        <v>0</v>
      </c>
      <c r="I64" s="124"/>
      <c r="J64" s="116"/>
    </row>
    <row r="65" spans="2:8" ht="14.25" thickBot="1" x14ac:dyDescent="0.2">
      <c r="B65" s="118" t="s">
        <v>88</v>
      </c>
      <c r="C65" s="134">
        <f>IFERROR(VLOOKUP($D$3,$Q$4:$S$5,3,0),0)/100</f>
        <v>8.0621190050395697E-2</v>
      </c>
      <c r="D65" s="135"/>
      <c r="E65" s="135"/>
      <c r="F65" s="135"/>
      <c r="G65" s="135"/>
      <c r="H65" s="136"/>
    </row>
  </sheetData>
  <mergeCells count="9">
    <mergeCell ref="B35:H35"/>
    <mergeCell ref="W1:W3"/>
    <mergeCell ref="V1:V3"/>
    <mergeCell ref="P1:P3"/>
    <mergeCell ref="Q1:Q3"/>
    <mergeCell ref="R1:R3"/>
    <mergeCell ref="S1:S3"/>
    <mergeCell ref="T1:T3"/>
    <mergeCell ref="U1:U3"/>
  </mergeCells>
  <phoneticPr fontId="25" type="noConversion"/>
  <dataValidations count="2">
    <dataValidation type="list" allowBlank="1" showInputMessage="1" showErrorMessage="1" sqref="D4:H4" xr:uid="{C47E2700-C9CD-48C9-99E6-EE30317B6C9B}">
      <formula1>$P$6:$U$6</formula1>
    </dataValidation>
    <dataValidation type="list" allowBlank="1" showInputMessage="1" showErrorMessage="1" sqref="C3" xr:uid="{0719D32A-6369-4108-8D49-7B9302825045}">
      <formula1>$P$4:$P$5</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FFB1D-005A-4AA1-9740-BB04104B2585}">
  <dimension ref="A1:G76"/>
  <sheetViews>
    <sheetView showGridLines="0" topLeftCell="A12" workbookViewId="0">
      <pane xSplit="2" ySplit="4" topLeftCell="C62" activePane="bottomRight" state="frozen"/>
      <selection activeCell="E73" sqref="E73"/>
      <selection pane="topRight" activeCell="E73" sqref="E73"/>
      <selection pane="bottomLeft" activeCell="E73" sqref="E73"/>
      <selection pane="bottomRight" activeCell="E73" sqref="E73"/>
    </sheetView>
  </sheetViews>
  <sheetFormatPr defaultRowHeight="13.5" x14ac:dyDescent="0.15"/>
  <cols>
    <col min="1" max="1" width="15.875" customWidth="1"/>
    <col min="2" max="3" width="18.25" customWidth="1"/>
    <col min="4" max="4" width="13.25" bestFit="1" customWidth="1"/>
    <col min="5" max="5" width="13.25" customWidth="1"/>
  </cols>
  <sheetData>
    <row r="1" spans="1:7" ht="15.75" hidden="1" x14ac:dyDescent="0.25">
      <c r="A1" s="91" t="s">
        <v>117</v>
      </c>
    </row>
    <row r="2" spans="1:7" hidden="1" x14ac:dyDescent="0.15">
      <c r="A2" s="92"/>
    </row>
    <row r="3" spans="1:7" ht="14.25" hidden="1" x14ac:dyDescent="0.2">
      <c r="A3" s="93" t="s">
        <v>118</v>
      </c>
      <c r="B3" s="32" t="s">
        <v>229</v>
      </c>
      <c r="C3" s="32"/>
    </row>
    <row r="4" spans="1:7" ht="14.25" hidden="1" x14ac:dyDescent="0.2">
      <c r="A4" s="93" t="s">
        <v>89</v>
      </c>
      <c r="B4" s="32" t="s">
        <v>248</v>
      </c>
      <c r="C4" s="32"/>
    </row>
    <row r="5" spans="1:7" ht="14.25" hidden="1" x14ac:dyDescent="0.2">
      <c r="A5" s="93" t="s">
        <v>119</v>
      </c>
      <c r="B5" s="32" t="s">
        <v>247</v>
      </c>
      <c r="C5" s="32"/>
    </row>
    <row r="6" spans="1:7" ht="14.25" hidden="1" x14ac:dyDescent="0.2">
      <c r="A6" s="93" t="s">
        <v>120</v>
      </c>
      <c r="B6" s="32" t="s">
        <v>246</v>
      </c>
      <c r="C6" s="32"/>
    </row>
    <row r="7" spans="1:7" ht="14.25" hidden="1" x14ac:dyDescent="0.2">
      <c r="A7" s="93" t="s">
        <v>121</v>
      </c>
      <c r="B7" s="32" t="s">
        <v>122</v>
      </c>
      <c r="C7" s="32"/>
    </row>
    <row r="8" spans="1:7" hidden="1" x14ac:dyDescent="0.15">
      <c r="A8" s="92"/>
    </row>
    <row r="9" spans="1:7" ht="15.75" hidden="1" customHeight="1" x14ac:dyDescent="0.25">
      <c r="A9" s="175" t="s">
        <v>123</v>
      </c>
      <c r="B9" s="175"/>
      <c r="C9" s="90"/>
    </row>
    <row r="10" spans="1:7" ht="78.75" hidden="1" x14ac:dyDescent="0.2">
      <c r="A10" s="93" t="s">
        <v>124</v>
      </c>
      <c r="B10" s="89" t="s">
        <v>245</v>
      </c>
      <c r="C10" s="89"/>
    </row>
    <row r="11" spans="1:7" ht="90" hidden="1" x14ac:dyDescent="0.2">
      <c r="A11" s="93" t="s">
        <v>125</v>
      </c>
      <c r="B11" s="89" t="s">
        <v>244</v>
      </c>
      <c r="C11" s="89"/>
    </row>
    <row r="12" spans="1:7" ht="14.25" thickBot="1" x14ac:dyDescent="0.2">
      <c r="A12" s="56" t="s">
        <v>126</v>
      </c>
    </row>
    <row r="13" spans="1:7" ht="45.75" thickBot="1" x14ac:dyDescent="0.2">
      <c r="A13" s="176"/>
      <c r="B13" s="33"/>
      <c r="C13" s="34" t="s">
        <v>293</v>
      </c>
      <c r="D13" s="34" t="s">
        <v>293</v>
      </c>
      <c r="E13" s="34" t="s">
        <v>293</v>
      </c>
    </row>
    <row r="14" spans="1:7" ht="18" customHeight="1" thickBot="1" x14ac:dyDescent="0.2">
      <c r="A14" s="177"/>
      <c r="B14" s="33" t="s">
        <v>89</v>
      </c>
      <c r="C14" s="34" t="s">
        <v>249</v>
      </c>
      <c r="D14" s="94" t="s">
        <v>250</v>
      </c>
      <c r="E14" s="94" t="s">
        <v>251</v>
      </c>
    </row>
    <row r="15" spans="1:7" ht="14.25" thickBot="1" x14ac:dyDescent="0.2">
      <c r="A15" s="35" t="s">
        <v>125</v>
      </c>
      <c r="B15" s="36"/>
      <c r="C15" s="37" t="s">
        <v>252</v>
      </c>
      <c r="D15" s="48" t="s">
        <v>253</v>
      </c>
      <c r="E15" s="48" t="s">
        <v>254</v>
      </c>
    </row>
    <row r="16" spans="1:7" ht="14.25" thickBot="1" x14ac:dyDescent="0.2">
      <c r="A16" s="37" t="s">
        <v>96</v>
      </c>
      <c r="B16" s="44"/>
      <c r="C16" s="38">
        <v>56448147.140000001</v>
      </c>
      <c r="D16" s="38">
        <v>20584916.309999999</v>
      </c>
      <c r="E16" s="38">
        <v>35863230.829999998</v>
      </c>
      <c r="F16" s="42" t="str">
        <f>(_xlfn.XLOOKUP(A16,Mapping!C:C,Mapping!E:E,""))</f>
        <v/>
      </c>
      <c r="G16" t="str">
        <f>(_xlfn.XLOOKUP(A16,Mapping!C:C,Mapping!F:F,""))</f>
        <v/>
      </c>
    </row>
    <row r="17" spans="1:7" ht="14.25" thickBot="1" x14ac:dyDescent="0.2">
      <c r="A17" s="47" t="s">
        <v>97</v>
      </c>
      <c r="B17" s="46"/>
      <c r="C17" s="41">
        <v>46755730.609999999</v>
      </c>
      <c r="D17" s="41">
        <v>13820706</v>
      </c>
      <c r="E17" s="41">
        <v>32935024.609999999</v>
      </c>
      <c r="F17" s="42" t="str">
        <f>(_xlfn.XLOOKUP(A17,Mapping!C:C,Mapping!E:E,""))</f>
        <v/>
      </c>
      <c r="G17" t="str">
        <f>(_xlfn.XLOOKUP(A17,Mapping!C:C,Mapping!F:F,""))</f>
        <v/>
      </c>
    </row>
    <row r="18" spans="1:7" ht="14.25" thickBot="1" x14ac:dyDescent="0.2">
      <c r="A18" s="47" t="s">
        <v>98</v>
      </c>
      <c r="B18" s="46"/>
      <c r="C18" s="39">
        <v>9692416.5299999993</v>
      </c>
      <c r="D18" s="39">
        <v>6764210.3099999996</v>
      </c>
      <c r="E18" s="39">
        <v>2928206.22</v>
      </c>
      <c r="F18" s="42" t="str">
        <f>(_xlfn.XLOOKUP(A18,Mapping!C:C,Mapping!E:E,""))</f>
        <v/>
      </c>
      <c r="G18" t="str">
        <f>(_xlfn.XLOOKUP(A18,Mapping!C:C,Mapping!F:F,""))</f>
        <v/>
      </c>
    </row>
    <row r="19" spans="1:7" ht="14.25" thickBot="1" x14ac:dyDescent="0.2">
      <c r="A19" s="47" t="s">
        <v>99</v>
      </c>
      <c r="B19" s="46"/>
      <c r="C19" s="40"/>
      <c r="D19" s="40"/>
      <c r="E19" s="40"/>
      <c r="F19" s="42" t="str">
        <f>(_xlfn.XLOOKUP(A19,Mapping!C:C,Mapping!E:E,""))</f>
        <v/>
      </c>
      <c r="G19" t="str">
        <f>(_xlfn.XLOOKUP(A19,Mapping!C:C,Mapping!F:F,""))</f>
        <v/>
      </c>
    </row>
    <row r="20" spans="1:7" ht="14.25" thickBot="1" x14ac:dyDescent="0.2">
      <c r="A20" s="37" t="s">
        <v>100</v>
      </c>
      <c r="B20" s="44"/>
      <c r="C20" s="39">
        <v>20856759.449999999</v>
      </c>
      <c r="D20" s="39">
        <v>8963024.0299999993</v>
      </c>
      <c r="E20" s="39">
        <v>11893735.42</v>
      </c>
      <c r="F20" s="42" t="str">
        <f>(_xlfn.XLOOKUP(A20,Mapping!C:C,Mapping!E:E,""))</f>
        <v/>
      </c>
      <c r="G20" t="str">
        <f>(_xlfn.XLOOKUP(A20,Mapping!C:C,Mapping!F:F,""))</f>
        <v/>
      </c>
    </row>
    <row r="21" spans="1:7" ht="14.25" thickBot="1" x14ac:dyDescent="0.2">
      <c r="A21" s="47" t="s">
        <v>101</v>
      </c>
      <c r="B21" s="46"/>
      <c r="C21" s="41">
        <v>6995725.2699999996</v>
      </c>
      <c r="D21" s="41">
        <v>2165228.84</v>
      </c>
      <c r="E21" s="41">
        <v>4830496.43</v>
      </c>
      <c r="F21" s="42" t="str">
        <f>(_xlfn.XLOOKUP(A21,Mapping!C:C,Mapping!E:E,""))</f>
        <v/>
      </c>
      <c r="G21" t="str">
        <f>(_xlfn.XLOOKUP(A21,Mapping!C:C,Mapping!F:F,""))</f>
        <v/>
      </c>
    </row>
    <row r="22" spans="1:7" ht="14.25" thickBot="1" x14ac:dyDescent="0.2">
      <c r="A22" s="47" t="s">
        <v>90</v>
      </c>
      <c r="B22" s="46"/>
      <c r="C22" s="39">
        <v>13861034.18</v>
      </c>
      <c r="D22" s="39">
        <v>6797795.1900000004</v>
      </c>
      <c r="E22" s="39">
        <v>7063238.9900000002</v>
      </c>
      <c r="F22" s="42" t="str">
        <f>(_xlfn.XLOOKUP(A22,Mapping!C:C,Mapping!E:E,""))</f>
        <v/>
      </c>
      <c r="G22" t="str">
        <f>(_xlfn.XLOOKUP(A22,Mapping!C:C,Mapping!F:F,""))</f>
        <v/>
      </c>
    </row>
    <row r="23" spans="1:7" ht="14.25" thickBot="1" x14ac:dyDescent="0.2">
      <c r="A23" s="37" t="s">
        <v>102</v>
      </c>
      <c r="B23" s="44"/>
      <c r="C23" s="41">
        <v>2019422.52</v>
      </c>
      <c r="D23" s="41">
        <v>516482.26</v>
      </c>
      <c r="E23" s="41">
        <v>1502940.26</v>
      </c>
      <c r="F23" s="42" t="str">
        <f>(_xlfn.XLOOKUP(A23,Mapping!C:C,Mapping!E:E,""))</f>
        <v/>
      </c>
      <c r="G23" t="str">
        <f>(_xlfn.XLOOKUP(A23,Mapping!C:C,Mapping!F:F,""))</f>
        <v/>
      </c>
    </row>
    <row r="24" spans="1:7" ht="14.25" thickBot="1" x14ac:dyDescent="0.2">
      <c r="A24" s="47" t="s">
        <v>294</v>
      </c>
      <c r="B24" s="46"/>
      <c r="C24" s="39">
        <v>225619.16</v>
      </c>
      <c r="D24" s="39">
        <v>57986.559999999998</v>
      </c>
      <c r="E24" s="39">
        <v>167632.6</v>
      </c>
      <c r="F24" s="42" t="str">
        <f>(_xlfn.XLOOKUP(A24,Mapping!C:C,Mapping!E:E,""))</f>
        <v/>
      </c>
      <c r="G24" t="str">
        <f>(_xlfn.XLOOKUP(A24,Mapping!C:C,Mapping!F:F,""))</f>
        <v/>
      </c>
    </row>
    <row r="25" spans="1:7" ht="23.25" thickBot="1" x14ac:dyDescent="0.2">
      <c r="A25" s="45" t="s">
        <v>133</v>
      </c>
      <c r="B25" s="57" t="s">
        <v>134</v>
      </c>
      <c r="C25" s="41">
        <v>225619.16</v>
      </c>
      <c r="D25" s="41">
        <v>57986.559999999998</v>
      </c>
      <c r="E25" s="41">
        <v>167632.6</v>
      </c>
      <c r="F25" s="42" t="str">
        <f>(_xlfn.XLOOKUP(A25,Mapping!C:C,Mapping!E:E,""))</f>
        <v/>
      </c>
      <c r="G25" t="str">
        <f>(_xlfn.XLOOKUP(A25,Mapping!C:C,Mapping!F:F,""))</f>
        <v/>
      </c>
    </row>
    <row r="26" spans="1:7" ht="34.5" thickBot="1" x14ac:dyDescent="0.2">
      <c r="A26" s="47" t="s">
        <v>295</v>
      </c>
      <c r="B26" s="46"/>
      <c r="C26" s="39">
        <v>872417.76</v>
      </c>
      <c r="D26" s="39">
        <v>257880.72</v>
      </c>
      <c r="E26" s="39">
        <v>614537.04</v>
      </c>
      <c r="F26" s="42" t="str">
        <f>(_xlfn.XLOOKUP(A26,Mapping!C:C,Mapping!E:E,""))</f>
        <v/>
      </c>
      <c r="G26" t="str">
        <f>(_xlfn.XLOOKUP(A26,Mapping!C:C,Mapping!F:F,""))</f>
        <v/>
      </c>
    </row>
    <row r="27" spans="1:7" ht="23.25" thickBot="1" x14ac:dyDescent="0.2">
      <c r="A27" s="45" t="s">
        <v>135</v>
      </c>
      <c r="B27" s="57" t="s">
        <v>136</v>
      </c>
      <c r="C27" s="41">
        <v>872417.76</v>
      </c>
      <c r="D27" s="41">
        <v>257880.72</v>
      </c>
      <c r="E27" s="41">
        <v>614537.04</v>
      </c>
      <c r="F27" s="42">
        <f>(_xlfn.XLOOKUP(A27,Mapping!C:C,Mapping!E:E,""))</f>
        <v>1</v>
      </c>
      <c r="G27" t="str">
        <f>(_xlfn.XLOOKUP(A27,Mapping!C:C,Mapping!F:F,""))</f>
        <v>ext. sales</v>
      </c>
    </row>
    <row r="28" spans="1:7" ht="14.25" thickBot="1" x14ac:dyDescent="0.2">
      <c r="A28" s="47" t="s">
        <v>296</v>
      </c>
      <c r="B28" s="46"/>
      <c r="C28" s="127"/>
      <c r="D28" s="127"/>
      <c r="E28" s="127"/>
      <c r="F28" s="42" t="str">
        <f>(_xlfn.XLOOKUP(A28,Mapping!C:C,Mapping!E:E,""))</f>
        <v/>
      </c>
      <c r="G28" t="str">
        <f>(_xlfn.XLOOKUP(A28,Mapping!C:C,Mapping!F:F,""))</f>
        <v/>
      </c>
    </row>
    <row r="29" spans="1:7" ht="14.25" thickBot="1" x14ac:dyDescent="0.2">
      <c r="A29" s="47" t="s">
        <v>297</v>
      </c>
      <c r="B29" s="46"/>
      <c r="C29" s="40"/>
      <c r="D29" s="40"/>
      <c r="E29" s="40"/>
      <c r="F29" s="42" t="str">
        <f>(_xlfn.XLOOKUP(A29,Mapping!C:C,Mapping!E:E,""))</f>
        <v/>
      </c>
      <c r="G29" t="str">
        <f>(_xlfn.XLOOKUP(A29,Mapping!C:C,Mapping!F:F,""))</f>
        <v/>
      </c>
    </row>
    <row r="30" spans="1:7" ht="14.25" thickBot="1" x14ac:dyDescent="0.2">
      <c r="A30" s="47" t="s">
        <v>298</v>
      </c>
      <c r="B30" s="46"/>
      <c r="C30" s="127"/>
      <c r="D30" s="127"/>
      <c r="E30" s="127"/>
      <c r="F30" s="42" t="str">
        <f>(_xlfn.XLOOKUP(A30,Mapping!C:C,Mapping!E:E,""))</f>
        <v/>
      </c>
      <c r="G30" t="str">
        <f>(_xlfn.XLOOKUP(A30,Mapping!C:C,Mapping!F:F,""))</f>
        <v/>
      </c>
    </row>
    <row r="31" spans="1:7" ht="34.5" thickBot="1" x14ac:dyDescent="0.2">
      <c r="A31" s="47" t="s">
        <v>299</v>
      </c>
      <c r="B31" s="46"/>
      <c r="C31" s="41">
        <v>921385.6</v>
      </c>
      <c r="D31" s="41">
        <v>200614.98</v>
      </c>
      <c r="E31" s="41">
        <v>720770.62</v>
      </c>
      <c r="F31" s="42" t="str">
        <f>(_xlfn.XLOOKUP(A31,Mapping!C:C,Mapping!E:E,""))</f>
        <v/>
      </c>
      <c r="G31" t="str">
        <f>(_xlfn.XLOOKUP(A31,Mapping!C:C,Mapping!F:F,""))</f>
        <v/>
      </c>
    </row>
    <row r="32" spans="1:7" ht="23.25" thickBot="1" x14ac:dyDescent="0.2">
      <c r="A32" s="45" t="s">
        <v>137</v>
      </c>
      <c r="B32" s="57" t="s">
        <v>138</v>
      </c>
      <c r="C32" s="39">
        <v>921385.6</v>
      </c>
      <c r="D32" s="39">
        <v>200614.98</v>
      </c>
      <c r="E32" s="39">
        <v>720770.62</v>
      </c>
      <c r="F32" s="42" t="str">
        <f>(_xlfn.XLOOKUP(A32,Mapping!C:C,Mapping!E:E,""))</f>
        <v/>
      </c>
      <c r="G32" t="str">
        <f>(_xlfn.XLOOKUP(A32,Mapping!C:C,Mapping!F:F,""))</f>
        <v/>
      </c>
    </row>
    <row r="33" spans="1:7" ht="14.25" thickBot="1" x14ac:dyDescent="0.2">
      <c r="A33" s="37" t="s">
        <v>103</v>
      </c>
      <c r="B33" s="44"/>
      <c r="C33" s="41">
        <v>297945.78999999998</v>
      </c>
      <c r="D33" s="41">
        <v>488525.28</v>
      </c>
      <c r="E33" s="41">
        <v>-190579.49</v>
      </c>
      <c r="F33" s="42" t="str">
        <f>(_xlfn.XLOOKUP(A33,Mapping!C:C,Mapping!E:E,""))</f>
        <v/>
      </c>
      <c r="G33" t="str">
        <f>(_xlfn.XLOOKUP(A33,Mapping!C:C,Mapping!F:F,""))</f>
        <v/>
      </c>
    </row>
    <row r="34" spans="1:7" ht="14.25" thickBot="1" x14ac:dyDescent="0.2">
      <c r="A34" s="47" t="s">
        <v>139</v>
      </c>
      <c r="B34" s="48" t="s">
        <v>140</v>
      </c>
      <c r="C34" s="39">
        <v>48919.99</v>
      </c>
      <c r="D34" s="39">
        <v>34560</v>
      </c>
      <c r="E34" s="39">
        <v>14359.99</v>
      </c>
      <c r="F34" s="42" t="str">
        <f>(_xlfn.XLOOKUP(A34,Mapping!C:C,Mapping!E:E,""))</f>
        <v/>
      </c>
      <c r="G34" t="str">
        <f>(_xlfn.XLOOKUP(A34,Mapping!C:C,Mapping!F:F,""))</f>
        <v/>
      </c>
    </row>
    <row r="35" spans="1:7" ht="14.25" thickBot="1" x14ac:dyDescent="0.2">
      <c r="A35" s="47" t="s">
        <v>300</v>
      </c>
      <c r="B35" s="48" t="s">
        <v>140</v>
      </c>
      <c r="C35" s="128">
        <v>0</v>
      </c>
      <c r="D35" s="41">
        <v>380355.96</v>
      </c>
      <c r="E35" s="41">
        <v>-380355.96</v>
      </c>
      <c r="F35" s="42" t="str">
        <f>(_xlfn.XLOOKUP(A35,Mapping!C:C,Mapping!E:E,""))</f>
        <v/>
      </c>
      <c r="G35" t="str">
        <f>(_xlfn.XLOOKUP(A35,Mapping!C:C,Mapping!F:F,""))</f>
        <v/>
      </c>
    </row>
    <row r="36" spans="1:7" ht="14.25" thickBot="1" x14ac:dyDescent="0.2">
      <c r="A36" s="47" t="s">
        <v>141</v>
      </c>
      <c r="B36" s="48" t="s">
        <v>142</v>
      </c>
      <c r="C36" s="39">
        <v>249025.8</v>
      </c>
      <c r="D36" s="39">
        <v>73609.320000000007</v>
      </c>
      <c r="E36" s="39">
        <v>175416.48</v>
      </c>
      <c r="F36" s="42">
        <f>(_xlfn.XLOOKUP(A36,Mapping!C:C,Mapping!E:E,""))</f>
        <v>1</v>
      </c>
      <c r="G36" t="str">
        <f>(_xlfn.XLOOKUP(A36,Mapping!C:C,Mapping!F:F,""))</f>
        <v>ext. sales</v>
      </c>
    </row>
    <row r="37" spans="1:7" ht="23.25" thickBot="1" x14ac:dyDescent="0.2">
      <c r="A37" s="37" t="s">
        <v>104</v>
      </c>
      <c r="B37" s="44"/>
      <c r="C37" s="41">
        <v>412395.51</v>
      </c>
      <c r="D37" s="41">
        <v>178020.35</v>
      </c>
      <c r="E37" s="41">
        <v>234375.16</v>
      </c>
      <c r="F37" s="42" t="str">
        <f>(_xlfn.XLOOKUP(A37,Mapping!C:C,Mapping!E:E,""))</f>
        <v/>
      </c>
      <c r="G37" t="str">
        <f>(_xlfn.XLOOKUP(A37,Mapping!C:C,Mapping!F:F,""))</f>
        <v/>
      </c>
    </row>
    <row r="38" spans="1:7" ht="14.25" thickBot="1" x14ac:dyDescent="0.2">
      <c r="A38" s="47" t="s">
        <v>143</v>
      </c>
      <c r="B38" s="48" t="s">
        <v>144</v>
      </c>
      <c r="C38" s="39">
        <v>412395.51</v>
      </c>
      <c r="D38" s="39">
        <v>178020.35</v>
      </c>
      <c r="E38" s="39">
        <v>234375.16</v>
      </c>
      <c r="F38" s="42">
        <f>(_xlfn.XLOOKUP(A38,Mapping!C:C,Mapping!E:E,""))</f>
        <v>1</v>
      </c>
      <c r="G38" t="str">
        <f>(_xlfn.XLOOKUP(A38,Mapping!C:C,Mapping!F:F,""))</f>
        <v>total sales</v>
      </c>
    </row>
    <row r="39" spans="1:7" ht="14.25" thickBot="1" x14ac:dyDescent="0.2">
      <c r="A39" s="37" t="s">
        <v>105</v>
      </c>
      <c r="B39" s="44"/>
      <c r="C39" s="41">
        <v>485296.76</v>
      </c>
      <c r="D39" s="41">
        <v>103580.08</v>
      </c>
      <c r="E39" s="41">
        <v>381716.68</v>
      </c>
      <c r="F39" s="42" t="str">
        <f>(_xlfn.XLOOKUP(A39,Mapping!C:C,Mapping!E:E,""))</f>
        <v/>
      </c>
      <c r="G39" t="str">
        <f>(_xlfn.XLOOKUP(A39,Mapping!C:C,Mapping!F:F,""))</f>
        <v/>
      </c>
    </row>
    <row r="40" spans="1:7" ht="14.25" thickBot="1" x14ac:dyDescent="0.2">
      <c r="A40" s="47" t="s">
        <v>145</v>
      </c>
      <c r="B40" s="48" t="s">
        <v>146</v>
      </c>
      <c r="C40" s="39">
        <v>139750.82999999999</v>
      </c>
      <c r="D40" s="39">
        <v>41310.07</v>
      </c>
      <c r="E40" s="39">
        <v>98440.76</v>
      </c>
      <c r="F40" s="42" t="str">
        <f>(_xlfn.XLOOKUP(A40,Mapping!C:C,Mapping!E:E,""))</f>
        <v/>
      </c>
      <c r="G40" t="str">
        <f>(_xlfn.XLOOKUP(A40,Mapping!C:C,Mapping!F:F,""))</f>
        <v/>
      </c>
    </row>
    <row r="41" spans="1:7" ht="14.25" thickBot="1" x14ac:dyDescent="0.2">
      <c r="A41" s="47" t="s">
        <v>147</v>
      </c>
      <c r="B41" s="48" t="s">
        <v>148</v>
      </c>
      <c r="C41" s="41">
        <v>145463.04000000001</v>
      </c>
      <c r="D41" s="41">
        <v>42996.2</v>
      </c>
      <c r="E41" s="41">
        <v>102466.84</v>
      </c>
      <c r="F41" s="42" t="str">
        <f>(_xlfn.XLOOKUP(A41,Mapping!C:C,Mapping!E:E,""))</f>
        <v/>
      </c>
      <c r="G41" t="str">
        <f>(_xlfn.XLOOKUP(A41,Mapping!C:C,Mapping!F:F,""))</f>
        <v/>
      </c>
    </row>
    <row r="42" spans="1:7" ht="14.25" thickBot="1" x14ac:dyDescent="0.2">
      <c r="A42" s="47" t="s">
        <v>151</v>
      </c>
      <c r="B42" s="48" t="s">
        <v>152</v>
      </c>
      <c r="C42" s="39">
        <v>200082.89</v>
      </c>
      <c r="D42" s="39">
        <v>19273.810000000001</v>
      </c>
      <c r="E42" s="39">
        <v>180809.08</v>
      </c>
      <c r="F42" s="42">
        <f>(_xlfn.XLOOKUP(A42,Mapping!C:C,Mapping!E:E,""))</f>
        <v>1</v>
      </c>
      <c r="G42" t="str">
        <f>(_xlfn.XLOOKUP(A42,Mapping!C:C,Mapping!F:F,""))</f>
        <v>ext. sales</v>
      </c>
    </row>
    <row r="43" spans="1:7" ht="14.25" thickBot="1" x14ac:dyDescent="0.2">
      <c r="A43" s="37" t="s">
        <v>106</v>
      </c>
      <c r="B43" s="44"/>
      <c r="C43" s="41">
        <v>388486.49</v>
      </c>
      <c r="D43" s="41">
        <v>111925.1</v>
      </c>
      <c r="E43" s="41">
        <v>276561.39</v>
      </c>
      <c r="F43" s="42" t="str">
        <f>(_xlfn.XLOOKUP(A43,Mapping!C:C,Mapping!E:E,""))</f>
        <v/>
      </c>
      <c r="G43" t="str">
        <f>(_xlfn.XLOOKUP(A43,Mapping!C:C,Mapping!F:F,""))</f>
        <v/>
      </c>
    </row>
    <row r="44" spans="1:7" ht="14.25" thickBot="1" x14ac:dyDescent="0.2">
      <c r="A44" s="47" t="s">
        <v>114</v>
      </c>
      <c r="B44" s="48" t="s">
        <v>115</v>
      </c>
      <c r="C44" s="39">
        <v>167109.72</v>
      </c>
      <c r="D44" s="39">
        <v>64372.33</v>
      </c>
      <c r="E44" s="39">
        <v>102737.39</v>
      </c>
      <c r="F44" s="42" t="str">
        <f>(_xlfn.XLOOKUP(A44,Mapping!C:C,Mapping!E:E,""))</f>
        <v/>
      </c>
      <c r="G44" t="str">
        <f>(_xlfn.XLOOKUP(A44,Mapping!C:C,Mapping!F:F,""))</f>
        <v/>
      </c>
    </row>
    <row r="45" spans="1:7" ht="14.25" thickBot="1" x14ac:dyDescent="0.2">
      <c r="A45" s="47" t="s">
        <v>154</v>
      </c>
      <c r="B45" s="48" t="s">
        <v>155</v>
      </c>
      <c r="C45" s="41">
        <v>221376.77</v>
      </c>
      <c r="D45" s="41">
        <v>47552.77</v>
      </c>
      <c r="E45" s="41">
        <v>173824</v>
      </c>
      <c r="F45" s="42" t="str">
        <f>(_xlfn.XLOOKUP(A45,Mapping!C:C,Mapping!E:E,""))</f>
        <v/>
      </c>
      <c r="G45" t="str">
        <f>(_xlfn.XLOOKUP(A45,Mapping!C:C,Mapping!F:F,""))</f>
        <v/>
      </c>
    </row>
    <row r="46" spans="1:7" ht="14.25" thickBot="1" x14ac:dyDescent="0.2">
      <c r="A46" s="37" t="s">
        <v>107</v>
      </c>
      <c r="B46" s="44"/>
      <c r="C46" s="39">
        <v>1167888.31</v>
      </c>
      <c r="D46" s="39">
        <v>348348.6</v>
      </c>
      <c r="E46" s="39">
        <v>819539.71</v>
      </c>
      <c r="F46" s="42" t="str">
        <f>(_xlfn.XLOOKUP(A46,Mapping!C:C,Mapping!E:E,""))</f>
        <v/>
      </c>
      <c r="G46" t="str">
        <f>(_xlfn.XLOOKUP(A46,Mapping!C:C,Mapping!F:F,""))</f>
        <v/>
      </c>
    </row>
    <row r="47" spans="1:7" ht="14.25" thickBot="1" x14ac:dyDescent="0.2">
      <c r="A47" s="47" t="s">
        <v>156</v>
      </c>
      <c r="B47" s="48" t="s">
        <v>157</v>
      </c>
      <c r="C47" s="41">
        <v>340847.03</v>
      </c>
      <c r="D47" s="41">
        <v>102881.4</v>
      </c>
      <c r="E47" s="41">
        <v>237965.63</v>
      </c>
      <c r="F47" s="42">
        <f>(_xlfn.XLOOKUP(A47,Mapping!C:C,Mapping!E:E,""))</f>
        <v>1</v>
      </c>
      <c r="G47" t="str">
        <f>(_xlfn.XLOOKUP(A47,Mapping!C:C,Mapping!F:F,""))</f>
        <v>ext. sales</v>
      </c>
    </row>
    <row r="48" spans="1:7" ht="14.25" thickBot="1" x14ac:dyDescent="0.2">
      <c r="A48" s="47" t="s">
        <v>158</v>
      </c>
      <c r="B48" s="48" t="s">
        <v>159</v>
      </c>
      <c r="C48" s="39">
        <v>46755.72</v>
      </c>
      <c r="D48" s="39">
        <v>13820.76</v>
      </c>
      <c r="E48" s="39">
        <v>32934.959999999999</v>
      </c>
      <c r="F48" s="42">
        <f>(_xlfn.XLOOKUP(A48,Mapping!C:C,Mapping!E:E,""))</f>
        <v>1</v>
      </c>
      <c r="G48" t="str">
        <f>(_xlfn.XLOOKUP(A48,Mapping!C:C,Mapping!F:F,""))</f>
        <v>ext. sales</v>
      </c>
    </row>
    <row r="49" spans="1:7" ht="14.25" thickBot="1" x14ac:dyDescent="0.2">
      <c r="A49" s="47" t="s">
        <v>160</v>
      </c>
      <c r="B49" s="48" t="s">
        <v>161</v>
      </c>
      <c r="C49" s="41">
        <v>409994.04</v>
      </c>
      <c r="D49" s="41">
        <v>121191.72</v>
      </c>
      <c r="E49" s="41">
        <v>288802.32</v>
      </c>
      <c r="F49" s="42">
        <f>(_xlfn.XLOOKUP(A49,Mapping!C:C,Mapping!E:E,""))</f>
        <v>1</v>
      </c>
      <c r="G49" t="str">
        <f>(_xlfn.XLOOKUP(A49,Mapping!C:C,Mapping!F:F,""))</f>
        <v>ext. sales</v>
      </c>
    </row>
    <row r="50" spans="1:7" ht="14.25" thickBot="1" x14ac:dyDescent="0.2">
      <c r="A50" s="47" t="s">
        <v>162</v>
      </c>
      <c r="B50" s="48" t="s">
        <v>163</v>
      </c>
      <c r="C50" s="39">
        <v>159890.72</v>
      </c>
      <c r="D50" s="39">
        <v>48261.48</v>
      </c>
      <c r="E50" s="39">
        <v>111629.24</v>
      </c>
      <c r="F50" s="42">
        <f>(_xlfn.XLOOKUP(A50,Mapping!C:C,Mapping!E:E,""))</f>
        <v>1</v>
      </c>
      <c r="G50" t="str">
        <f>(_xlfn.XLOOKUP(A50,Mapping!C:C,Mapping!F:F,""))</f>
        <v>ext. sales</v>
      </c>
    </row>
    <row r="51" spans="1:7" ht="14.25" thickBot="1" x14ac:dyDescent="0.2">
      <c r="A51" s="47" t="s">
        <v>164</v>
      </c>
      <c r="B51" s="48" t="s">
        <v>165</v>
      </c>
      <c r="C51" s="41">
        <v>210400.8</v>
      </c>
      <c r="D51" s="41">
        <v>62193.24</v>
      </c>
      <c r="E51" s="41">
        <v>148207.56</v>
      </c>
      <c r="F51" s="42">
        <f>(_xlfn.XLOOKUP(A51,Mapping!C:C,Mapping!E:E,""))</f>
        <v>1</v>
      </c>
      <c r="G51" t="str">
        <f>(_xlfn.XLOOKUP(A51,Mapping!C:C,Mapping!F:F,""))</f>
        <v>ext. sales</v>
      </c>
    </row>
    <row r="52" spans="1:7" ht="14.25" thickBot="1" x14ac:dyDescent="0.2">
      <c r="A52" s="37" t="s">
        <v>108</v>
      </c>
      <c r="B52" s="44"/>
      <c r="C52" s="39">
        <v>2298723.75</v>
      </c>
      <c r="D52" s="39">
        <v>580903.34</v>
      </c>
      <c r="E52" s="39">
        <v>1717820.41</v>
      </c>
      <c r="F52" s="42" t="str">
        <f>(_xlfn.XLOOKUP(A52,Mapping!C:C,Mapping!E:E,""))</f>
        <v/>
      </c>
      <c r="G52" t="str">
        <f>(_xlfn.XLOOKUP(A52,Mapping!C:C,Mapping!F:F,""))</f>
        <v/>
      </c>
    </row>
    <row r="53" spans="1:7" ht="23.25" thickBot="1" x14ac:dyDescent="0.2">
      <c r="A53" s="47" t="s">
        <v>109</v>
      </c>
      <c r="B53" s="46"/>
      <c r="C53" s="40"/>
      <c r="D53" s="40"/>
      <c r="E53" s="40"/>
      <c r="F53" s="42" t="str">
        <f>(_xlfn.XLOOKUP(A53,Mapping!C:C,Mapping!E:E,""))</f>
        <v/>
      </c>
      <c r="G53" t="str">
        <f>(_xlfn.XLOOKUP(A53,Mapping!C:C,Mapping!F:F,""))</f>
        <v/>
      </c>
    </row>
    <row r="54" spans="1:7" ht="14.25" thickBot="1" x14ac:dyDescent="0.2">
      <c r="A54" s="47" t="s">
        <v>110</v>
      </c>
      <c r="B54" s="46"/>
      <c r="C54" s="39">
        <v>2298723.75</v>
      </c>
      <c r="D54" s="39">
        <v>580903.34</v>
      </c>
      <c r="E54" s="39">
        <v>1717820.41</v>
      </c>
      <c r="F54" s="42" t="str">
        <f>(_xlfn.XLOOKUP(A54,Mapping!C:C,Mapping!E:E,""))</f>
        <v/>
      </c>
      <c r="G54" t="str">
        <f>(_xlfn.XLOOKUP(A54,Mapping!C:C,Mapping!F:F,""))</f>
        <v/>
      </c>
    </row>
    <row r="55" spans="1:7" ht="23.25" thickBot="1" x14ac:dyDescent="0.2">
      <c r="A55" s="45" t="s">
        <v>166</v>
      </c>
      <c r="B55" s="57" t="s">
        <v>167</v>
      </c>
      <c r="C55" s="41">
        <v>134973.81</v>
      </c>
      <c r="D55" s="41">
        <v>28802.78</v>
      </c>
      <c r="E55" s="41">
        <v>106171.03</v>
      </c>
      <c r="F55" s="42">
        <f>(_xlfn.XLOOKUP(A55,Mapping!C:C,Mapping!E:E,""))</f>
        <v>0.5</v>
      </c>
      <c r="G55" t="str">
        <f>(_xlfn.XLOOKUP(A55,Mapping!C:C,Mapping!F:F,""))</f>
        <v>total sales</v>
      </c>
    </row>
    <row r="56" spans="1:7" ht="23.25" thickBot="1" x14ac:dyDescent="0.2">
      <c r="A56" s="45" t="s">
        <v>168</v>
      </c>
      <c r="B56" s="57" t="s">
        <v>169</v>
      </c>
      <c r="C56" s="39">
        <v>-48134.33</v>
      </c>
      <c r="D56" s="39">
        <v>-7960.55</v>
      </c>
      <c r="E56" s="39">
        <v>-40173.78</v>
      </c>
      <c r="F56" s="42">
        <f>(_xlfn.XLOOKUP(A56,Mapping!C:C,Mapping!E:E,""))</f>
        <v>1</v>
      </c>
      <c r="G56" t="str">
        <f>(_xlfn.XLOOKUP(A56,Mapping!C:C,Mapping!F:F,""))</f>
        <v>ext. sales</v>
      </c>
    </row>
    <row r="57" spans="1:7" ht="23.25" thickBot="1" x14ac:dyDescent="0.2">
      <c r="A57" s="45" t="s">
        <v>170</v>
      </c>
      <c r="B57" s="57" t="s">
        <v>171</v>
      </c>
      <c r="C57" s="41">
        <v>40885.75</v>
      </c>
      <c r="D57" s="41">
        <v>22868.36</v>
      </c>
      <c r="E57" s="41">
        <v>18017.39</v>
      </c>
      <c r="F57" s="42">
        <f>(_xlfn.XLOOKUP(A57,Mapping!C:C,Mapping!E:E,""))</f>
        <v>0.5</v>
      </c>
      <c r="G57" t="str">
        <f>(_xlfn.XLOOKUP(A57,Mapping!C:C,Mapping!F:F,""))</f>
        <v>ext. sales</v>
      </c>
    </row>
    <row r="58" spans="1:7" ht="23.25" thickBot="1" x14ac:dyDescent="0.2">
      <c r="A58" s="45" t="s">
        <v>172</v>
      </c>
      <c r="B58" s="57" t="s">
        <v>173</v>
      </c>
      <c r="C58" s="39">
        <v>148721.39000000001</v>
      </c>
      <c r="D58" s="39">
        <v>48600.81</v>
      </c>
      <c r="E58" s="39">
        <v>100120.58</v>
      </c>
      <c r="F58" s="42">
        <f>(_xlfn.XLOOKUP(A58,Mapping!C:C,Mapping!E:E,""))</f>
        <v>0.5</v>
      </c>
      <c r="G58" t="str">
        <f>(_xlfn.XLOOKUP(A58,Mapping!C:C,Mapping!F:F,""))</f>
        <v>net. Sales</v>
      </c>
    </row>
    <row r="59" spans="1:7" ht="23.25" thickBot="1" x14ac:dyDescent="0.2">
      <c r="A59" s="45" t="s">
        <v>174</v>
      </c>
      <c r="B59" s="57" t="s">
        <v>175</v>
      </c>
      <c r="C59" s="41">
        <v>262208.88</v>
      </c>
      <c r="D59" s="41">
        <v>66565.98</v>
      </c>
      <c r="E59" s="41">
        <v>195642.9</v>
      </c>
      <c r="F59" s="42">
        <f>(_xlfn.XLOOKUP(A59,Mapping!C:C,Mapping!E:E,""))</f>
        <v>0.5</v>
      </c>
      <c r="G59" t="str">
        <f>(_xlfn.XLOOKUP(A59,Mapping!C:C,Mapping!F:F,""))</f>
        <v>net. Sales</v>
      </c>
    </row>
    <row r="60" spans="1:7" ht="23.25" thickBot="1" x14ac:dyDescent="0.2">
      <c r="A60" s="45" t="s">
        <v>243</v>
      </c>
      <c r="B60" s="57" t="s">
        <v>242</v>
      </c>
      <c r="C60" s="39">
        <v>-1881.07</v>
      </c>
      <c r="D60" s="39">
        <v>-687.81</v>
      </c>
      <c r="E60" s="39">
        <v>-1193.26</v>
      </c>
      <c r="F60" s="42" t="str">
        <f>(_xlfn.XLOOKUP(A60,Mapping!C:C,Mapping!E:E,""))</f>
        <v/>
      </c>
      <c r="G60" t="str">
        <f>(_xlfn.XLOOKUP(A60,Mapping!C:C,Mapping!F:F,""))</f>
        <v/>
      </c>
    </row>
    <row r="61" spans="1:7" ht="23.25" thickBot="1" x14ac:dyDescent="0.2">
      <c r="A61" s="45" t="s">
        <v>176</v>
      </c>
      <c r="B61" s="57" t="s">
        <v>177</v>
      </c>
      <c r="C61" s="41">
        <v>1125401.08</v>
      </c>
      <c r="D61" s="41">
        <v>289163.53999999998</v>
      </c>
      <c r="E61" s="41">
        <v>836237.54</v>
      </c>
      <c r="F61" s="42">
        <f>(_xlfn.XLOOKUP(A61,Mapping!C:C,Mapping!E:E,""))</f>
        <v>1</v>
      </c>
      <c r="G61" t="str">
        <f>(_xlfn.XLOOKUP(A61,Mapping!C:C,Mapping!F:F,""))</f>
        <v>ext. sales</v>
      </c>
    </row>
    <row r="62" spans="1:7" ht="23.25" thickBot="1" x14ac:dyDescent="0.2">
      <c r="A62" s="45" t="s">
        <v>178</v>
      </c>
      <c r="B62" s="57" t="s">
        <v>179</v>
      </c>
      <c r="C62" s="39">
        <v>497086.52</v>
      </c>
      <c r="D62" s="39">
        <v>124090.67</v>
      </c>
      <c r="E62" s="39">
        <v>372995.85</v>
      </c>
      <c r="F62" s="42" t="str">
        <f>(_xlfn.XLOOKUP(A62,Mapping!C:C,Mapping!E:E,""))</f>
        <v/>
      </c>
      <c r="G62" t="str">
        <f>(_xlfn.XLOOKUP(A62,Mapping!C:C,Mapping!F:F,""))</f>
        <v/>
      </c>
    </row>
    <row r="63" spans="1:7" ht="23.25" thickBot="1" x14ac:dyDescent="0.2">
      <c r="A63" s="45" t="s">
        <v>180</v>
      </c>
      <c r="B63" s="57" t="s">
        <v>181</v>
      </c>
      <c r="C63" s="41">
        <v>139461.72</v>
      </c>
      <c r="D63" s="41">
        <v>9459.56</v>
      </c>
      <c r="E63" s="41">
        <v>130002.16</v>
      </c>
      <c r="F63" s="42">
        <f>(_xlfn.XLOOKUP(A63,Mapping!C:C,Mapping!E:E,""))</f>
        <v>1</v>
      </c>
      <c r="G63" t="str">
        <f>(_xlfn.XLOOKUP(A63,Mapping!C:C,Mapping!F:F,""))</f>
        <v>ext. sales</v>
      </c>
    </row>
    <row r="64" spans="1:7" ht="14.25" thickBot="1" x14ac:dyDescent="0.2">
      <c r="A64" s="37" t="s">
        <v>111</v>
      </c>
      <c r="B64" s="44"/>
      <c r="C64" s="39">
        <v>32910222.129999999</v>
      </c>
      <c r="D64" s="39">
        <v>9962311.8300000001</v>
      </c>
      <c r="E64" s="39">
        <v>22947910.300000001</v>
      </c>
      <c r="F64" s="42" t="str">
        <f>(_xlfn.XLOOKUP(A64,Mapping!C:C,Mapping!E:E,""))</f>
        <v/>
      </c>
      <c r="G64" t="str">
        <f>(_xlfn.XLOOKUP(A64,Mapping!C:C,Mapping!F:F,""))</f>
        <v/>
      </c>
    </row>
    <row r="65" spans="1:7" ht="14.25" thickBot="1" x14ac:dyDescent="0.2">
      <c r="A65" s="37" t="s">
        <v>241</v>
      </c>
      <c r="B65" s="44"/>
      <c r="C65" s="88">
        <v>4.7497848837275409</v>
      </c>
      <c r="D65" s="88">
        <v>8.0621190050395697</v>
      </c>
      <c r="E65" s="88">
        <v>2.8485584994908839</v>
      </c>
      <c r="F65" s="42" t="str">
        <f>(_xlfn.XLOOKUP(A65,Mapping!C:C,Mapping!E:E,""))</f>
        <v/>
      </c>
      <c r="G65" t="str">
        <f>(_xlfn.XLOOKUP(A65,Mapping!C:C,Mapping!F:F,""))</f>
        <v/>
      </c>
    </row>
    <row r="67" spans="1:7" x14ac:dyDescent="0.15">
      <c r="A67" s="43" t="s">
        <v>182</v>
      </c>
      <c r="D67" s="58">
        <f>SUMPRODUCT(D$14:D$65,$F$14:$F$65)</f>
        <v>1251214.3150000002</v>
      </c>
      <c r="E67" s="58">
        <f>SUMPRODUCT(E$14:E$65,$F$14:$F$65)</f>
        <v>3160719.3400000003</v>
      </c>
    </row>
    <row r="68" spans="1:7" x14ac:dyDescent="0.15">
      <c r="A68" s="30" t="s">
        <v>56</v>
      </c>
      <c r="D68" s="42">
        <f>D67/D17</f>
        <v>9.0531866823590643E-2</v>
      </c>
      <c r="E68" s="42">
        <f>E67/E17</f>
        <v>9.5968330900846416E-2</v>
      </c>
    </row>
    <row r="69" spans="1:7" x14ac:dyDescent="0.15">
      <c r="A69" s="30" t="s">
        <v>54</v>
      </c>
      <c r="D69" s="42">
        <f t="shared" ref="D69:E69" si="0">D67/D64</f>
        <v>0.1255947752239753</v>
      </c>
      <c r="E69" s="42">
        <f t="shared" si="0"/>
        <v>0.13773451694205027</v>
      </c>
    </row>
    <row r="70" spans="1:7" x14ac:dyDescent="0.15">
      <c r="A70" s="30" t="s">
        <v>183</v>
      </c>
      <c r="D70" s="58">
        <f>(D59+D58+D55)*0.5+D38</f>
        <v>250005.13500000001</v>
      </c>
      <c r="E70" s="58">
        <f>(E59+E58+E55)*0.5+E38</f>
        <v>435342.41500000004</v>
      </c>
    </row>
    <row r="71" spans="1:7" x14ac:dyDescent="0.15">
      <c r="A71" s="30" t="s">
        <v>184</v>
      </c>
      <c r="D71" s="42">
        <f>D70/D18</f>
        <v>3.6959988460205047E-2</v>
      </c>
      <c r="E71" s="42">
        <f>E70/E18</f>
        <v>0.14867204776308413</v>
      </c>
    </row>
    <row r="72" spans="1:7" x14ac:dyDescent="0.15">
      <c r="A72" s="30"/>
    </row>
    <row r="73" spans="1:7" x14ac:dyDescent="0.15">
      <c r="A73" s="30"/>
    </row>
    <row r="74" spans="1:7" x14ac:dyDescent="0.15">
      <c r="A74" s="30"/>
    </row>
    <row r="75" spans="1:7" x14ac:dyDescent="0.15">
      <c r="A75" s="30"/>
    </row>
    <row r="76" spans="1:7" x14ac:dyDescent="0.15">
      <c r="A76" s="30"/>
    </row>
  </sheetData>
  <mergeCells count="2">
    <mergeCell ref="A9:B9"/>
    <mergeCell ref="A13:A14"/>
  </mergeCells>
  <phoneticPr fontId="29" type="noConversion"/>
  <hyperlinks>
    <hyperlink ref="A12" r:id="rId1" display="https://businessportal.itgr.net/irj/servlet/prt/portal/prtroot/pcd!3aportal_content!2fcom.sap.pct!2fplatform_add_ons!2fcom.sap.ip.bi!2fiViews!2fcom.sap.ip.bi.bex?BOOKMARK=00O2TKES8EUYAGFB2C274BY36" xr:uid="{DDBC320E-073B-49C6-9B64-FD92312C717E}"/>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8AA0-9396-47B5-A2B8-40E34A277B5C}">
  <dimension ref="A1:K23"/>
  <sheetViews>
    <sheetView showGridLines="0" topLeftCell="A9" workbookViewId="0">
      <pane xSplit="5" ySplit="2" topLeftCell="F11" activePane="bottomRight" state="frozen"/>
      <selection activeCell="E73" sqref="E73"/>
      <selection pane="topRight" activeCell="E73" sqref="E73"/>
      <selection pane="bottomLeft" activeCell="E73" sqref="E73"/>
      <selection pane="bottomRight" activeCell="E73" sqref="E73"/>
    </sheetView>
  </sheetViews>
  <sheetFormatPr defaultRowHeight="13.5" x14ac:dyDescent="0.15"/>
  <cols>
    <col min="1" max="1" width="10" customWidth="1"/>
    <col min="2" max="2" width="16.75" customWidth="1"/>
    <col min="3" max="3" width="10" bestFit="1" customWidth="1"/>
    <col min="4" max="4" width="7.625" bestFit="1" customWidth="1"/>
    <col min="5" max="5" width="5.625" customWidth="1"/>
    <col min="6" max="11" width="10" customWidth="1"/>
  </cols>
  <sheetData>
    <row r="1" spans="1:11" ht="63" hidden="1" x14ac:dyDescent="0.25">
      <c r="A1" s="31" t="s">
        <v>282</v>
      </c>
    </row>
    <row r="2" spans="1:11" hidden="1" x14ac:dyDescent="0.15">
      <c r="A2" s="61"/>
    </row>
    <row r="3" spans="1:11" ht="22.5" hidden="1" x14ac:dyDescent="0.2">
      <c r="A3" s="89" t="s">
        <v>118</v>
      </c>
      <c r="B3" s="32" t="s">
        <v>281</v>
      </c>
    </row>
    <row r="4" spans="1:11" ht="22.5" hidden="1" x14ac:dyDescent="0.2">
      <c r="A4" s="89" t="s">
        <v>280</v>
      </c>
      <c r="B4" s="32" t="s">
        <v>279</v>
      </c>
    </row>
    <row r="5" spans="1:11" ht="22.5" hidden="1" x14ac:dyDescent="0.2">
      <c r="A5" s="89" t="s">
        <v>278</v>
      </c>
      <c r="B5" s="32" t="s">
        <v>277</v>
      </c>
    </row>
    <row r="6" spans="1:11" hidden="1" x14ac:dyDescent="0.15">
      <c r="A6" s="61"/>
    </row>
    <row r="7" spans="1:11" ht="15.75" hidden="1" customHeight="1" x14ac:dyDescent="0.25">
      <c r="A7" s="175" t="s">
        <v>123</v>
      </c>
      <c r="B7" s="175"/>
    </row>
    <row r="8" spans="1:11" ht="14.25" hidden="1" x14ac:dyDescent="0.2">
      <c r="A8" s="89" t="s">
        <v>113</v>
      </c>
      <c r="B8" s="32" t="s">
        <v>189</v>
      </c>
    </row>
    <row r="9" spans="1:11" ht="14.25" thickBot="1" x14ac:dyDescent="0.2">
      <c r="A9" s="56" t="s">
        <v>283</v>
      </c>
    </row>
    <row r="10" spans="1:11" ht="45.75" thickBot="1" x14ac:dyDescent="0.2">
      <c r="A10" s="178" t="s">
        <v>89</v>
      </c>
      <c r="B10" s="179"/>
      <c r="C10" s="35" t="s">
        <v>113</v>
      </c>
      <c r="D10" s="35" t="s">
        <v>188</v>
      </c>
      <c r="E10" s="35" t="s">
        <v>276</v>
      </c>
      <c r="F10" s="34" t="s">
        <v>275</v>
      </c>
      <c r="G10" s="34" t="s">
        <v>274</v>
      </c>
      <c r="H10" s="34" t="s">
        <v>273</v>
      </c>
      <c r="I10" s="34" t="s">
        <v>287</v>
      </c>
      <c r="J10" s="34" t="s">
        <v>288</v>
      </c>
      <c r="K10" s="34" t="s">
        <v>272</v>
      </c>
    </row>
    <row r="11" spans="1:11" ht="14.25" thickBot="1" x14ac:dyDescent="0.2">
      <c r="A11" s="35" t="s">
        <v>190</v>
      </c>
      <c r="B11" s="35" t="s">
        <v>127</v>
      </c>
      <c r="C11" s="35" t="s">
        <v>189</v>
      </c>
      <c r="D11" s="35" t="s">
        <v>269</v>
      </c>
      <c r="E11" s="35" t="s">
        <v>186</v>
      </c>
      <c r="F11" s="100">
        <v>756.87</v>
      </c>
      <c r="G11" s="100">
        <v>756.87</v>
      </c>
      <c r="H11" s="96">
        <v>0</v>
      </c>
      <c r="I11" s="100">
        <v>756.87</v>
      </c>
      <c r="J11" s="100">
        <v>756.87</v>
      </c>
      <c r="K11" s="100">
        <v>236.89</v>
      </c>
    </row>
    <row r="12" spans="1:11" ht="14.25" thickBot="1" x14ac:dyDescent="0.2">
      <c r="A12" s="35" t="s">
        <v>271</v>
      </c>
      <c r="B12" s="35" t="s">
        <v>270</v>
      </c>
      <c r="C12" s="35" t="s">
        <v>189</v>
      </c>
      <c r="D12" s="35" t="s">
        <v>269</v>
      </c>
      <c r="E12" s="35" t="s">
        <v>186</v>
      </c>
      <c r="F12" s="99">
        <v>590.70000000000005</v>
      </c>
      <c r="G12" s="99">
        <v>590.70000000000005</v>
      </c>
      <c r="H12" s="98">
        <v>0</v>
      </c>
      <c r="I12" s="99">
        <v>479.61</v>
      </c>
      <c r="J12" s="99">
        <v>479.61</v>
      </c>
      <c r="K12" s="99">
        <v>236.89</v>
      </c>
    </row>
    <row r="13" spans="1:11" ht="14.25" thickBot="1" x14ac:dyDescent="0.2">
      <c r="A13" s="35" t="s">
        <v>191</v>
      </c>
      <c r="B13" s="35" t="s">
        <v>128</v>
      </c>
      <c r="C13" s="35" t="s">
        <v>189</v>
      </c>
      <c r="D13" s="35" t="s">
        <v>268</v>
      </c>
      <c r="E13" s="35" t="s">
        <v>187</v>
      </c>
      <c r="F13" s="95">
        <v>681.98</v>
      </c>
      <c r="G13" s="95">
        <v>681.98</v>
      </c>
      <c r="H13" s="96">
        <v>0</v>
      </c>
      <c r="I13" s="95">
        <v>681.98</v>
      </c>
      <c r="J13" s="95">
        <v>681.98</v>
      </c>
      <c r="K13" s="95">
        <v>289.35000000000002</v>
      </c>
    </row>
    <row r="14" spans="1:11" ht="14.25" thickBot="1" x14ac:dyDescent="0.2">
      <c r="A14" s="35" t="s">
        <v>267</v>
      </c>
      <c r="B14" s="35" t="s">
        <v>266</v>
      </c>
      <c r="C14" s="35" t="s">
        <v>189</v>
      </c>
      <c r="D14" s="35" t="s">
        <v>265</v>
      </c>
      <c r="E14" s="35" t="s">
        <v>186</v>
      </c>
      <c r="F14" s="40"/>
      <c r="G14" s="40"/>
      <c r="H14" s="40"/>
      <c r="I14" s="99">
        <v>1</v>
      </c>
      <c r="J14" s="99">
        <v>0.98</v>
      </c>
      <c r="K14" s="98">
        <v>0</v>
      </c>
    </row>
    <row r="15" spans="1:11" ht="14.25" thickBot="1" x14ac:dyDescent="0.2">
      <c r="A15" s="35" t="s">
        <v>192</v>
      </c>
      <c r="B15" s="35" t="s">
        <v>228</v>
      </c>
      <c r="C15" s="35" t="s">
        <v>189</v>
      </c>
      <c r="D15" s="35" t="s">
        <v>263</v>
      </c>
      <c r="E15" s="35" t="s">
        <v>187</v>
      </c>
      <c r="F15" s="95">
        <v>879.03</v>
      </c>
      <c r="G15" s="95">
        <v>879.03</v>
      </c>
      <c r="H15" s="96">
        <v>0</v>
      </c>
      <c r="I15" s="95">
        <v>879.03</v>
      </c>
      <c r="J15" s="95">
        <v>879.03</v>
      </c>
      <c r="K15" s="95">
        <v>289.35000000000002</v>
      </c>
    </row>
    <row r="16" spans="1:11" ht="14.25" thickBot="1" x14ac:dyDescent="0.2">
      <c r="A16" s="35" t="s">
        <v>193</v>
      </c>
      <c r="B16" s="35" t="s">
        <v>129</v>
      </c>
      <c r="C16" s="35" t="s">
        <v>189</v>
      </c>
      <c r="D16" s="35" t="s">
        <v>263</v>
      </c>
      <c r="E16" s="35" t="s">
        <v>187</v>
      </c>
      <c r="F16" s="97">
        <v>681.98</v>
      </c>
      <c r="G16" s="97">
        <v>681.98</v>
      </c>
      <c r="H16" s="98">
        <v>0</v>
      </c>
      <c r="I16" s="97">
        <v>681.98</v>
      </c>
      <c r="J16" s="97">
        <v>681.98</v>
      </c>
      <c r="K16" s="97">
        <v>289.35000000000002</v>
      </c>
    </row>
    <row r="17" spans="1:11" ht="14.25" thickBot="1" x14ac:dyDescent="0.2">
      <c r="A17" s="35" t="s">
        <v>264</v>
      </c>
      <c r="B17" s="35" t="s">
        <v>289</v>
      </c>
      <c r="C17" s="35" t="s">
        <v>189</v>
      </c>
      <c r="D17" s="35" t="s">
        <v>263</v>
      </c>
      <c r="E17" s="35" t="s">
        <v>187</v>
      </c>
      <c r="F17" s="95">
        <v>532.25</v>
      </c>
      <c r="G17" s="95">
        <v>532.25</v>
      </c>
      <c r="H17" s="96">
        <v>0</v>
      </c>
      <c r="I17" s="95">
        <v>443.06</v>
      </c>
      <c r="J17" s="95">
        <v>443.06</v>
      </c>
      <c r="K17" s="95">
        <v>289.35000000000002</v>
      </c>
    </row>
    <row r="18" spans="1:11" ht="14.25" thickBot="1" x14ac:dyDescent="0.2">
      <c r="A18" s="35" t="s">
        <v>194</v>
      </c>
      <c r="B18" s="35" t="s">
        <v>130</v>
      </c>
      <c r="C18" s="35" t="s">
        <v>189</v>
      </c>
      <c r="D18" s="35" t="s">
        <v>261</v>
      </c>
      <c r="E18" s="35" t="s">
        <v>187</v>
      </c>
      <c r="F18" s="97">
        <v>681.98</v>
      </c>
      <c r="G18" s="97">
        <v>681.98</v>
      </c>
      <c r="H18" s="98">
        <v>0</v>
      </c>
      <c r="I18" s="97">
        <v>681.98</v>
      </c>
      <c r="J18" s="97">
        <v>681.98</v>
      </c>
      <c r="K18" s="97">
        <v>308.83999999999997</v>
      </c>
    </row>
    <row r="19" spans="1:11" ht="14.25" thickBot="1" x14ac:dyDescent="0.2">
      <c r="A19" s="35" t="s">
        <v>262</v>
      </c>
      <c r="B19" s="35" t="s">
        <v>290</v>
      </c>
      <c r="C19" s="35" t="s">
        <v>189</v>
      </c>
      <c r="D19" s="35" t="s">
        <v>261</v>
      </c>
      <c r="E19" s="35" t="s">
        <v>187</v>
      </c>
      <c r="F19" s="95">
        <v>532.25</v>
      </c>
      <c r="G19" s="95">
        <v>532.25</v>
      </c>
      <c r="H19" s="96">
        <v>0</v>
      </c>
      <c r="I19" s="95">
        <v>443.06</v>
      </c>
      <c r="J19" s="95">
        <v>443.06</v>
      </c>
      <c r="K19" s="95">
        <v>135.97999999999999</v>
      </c>
    </row>
    <row r="20" spans="1:11" ht="14.25" thickBot="1" x14ac:dyDescent="0.2">
      <c r="A20" s="35" t="s">
        <v>195</v>
      </c>
      <c r="B20" s="35" t="s">
        <v>131</v>
      </c>
      <c r="C20" s="35" t="s">
        <v>189</v>
      </c>
      <c r="D20" s="35" t="s">
        <v>259</v>
      </c>
      <c r="E20" s="35" t="s">
        <v>187</v>
      </c>
      <c r="F20" s="97">
        <v>681.98</v>
      </c>
      <c r="G20" s="97">
        <v>681.98</v>
      </c>
      <c r="H20" s="98">
        <v>0</v>
      </c>
      <c r="I20" s="97">
        <v>681.98</v>
      </c>
      <c r="J20" s="97">
        <v>681.98</v>
      </c>
      <c r="K20" s="97">
        <v>175.74</v>
      </c>
    </row>
    <row r="21" spans="1:11" ht="14.25" thickBot="1" x14ac:dyDescent="0.2">
      <c r="A21" s="35" t="s">
        <v>260</v>
      </c>
      <c r="B21" s="35" t="s">
        <v>291</v>
      </c>
      <c r="C21" s="35" t="s">
        <v>189</v>
      </c>
      <c r="D21" s="35" t="s">
        <v>259</v>
      </c>
      <c r="E21" s="35" t="s">
        <v>187</v>
      </c>
      <c r="F21" s="95">
        <v>532.25</v>
      </c>
      <c r="G21" s="95">
        <v>532.25</v>
      </c>
      <c r="H21" s="96">
        <v>0</v>
      </c>
      <c r="I21" s="95">
        <v>443.06</v>
      </c>
      <c r="J21" s="95">
        <v>443.06</v>
      </c>
      <c r="K21" s="95">
        <v>175.74</v>
      </c>
    </row>
    <row r="22" spans="1:11" ht="14.25" thickBot="1" x14ac:dyDescent="0.2">
      <c r="A22" s="35" t="s">
        <v>258</v>
      </c>
      <c r="B22" s="35" t="s">
        <v>132</v>
      </c>
      <c r="C22" s="35" t="s">
        <v>189</v>
      </c>
      <c r="D22" s="35" t="s">
        <v>256</v>
      </c>
      <c r="E22" s="35" t="s">
        <v>187</v>
      </c>
      <c r="F22" s="97">
        <v>681.98</v>
      </c>
      <c r="G22" s="97">
        <v>681.98</v>
      </c>
      <c r="H22" s="98">
        <v>0</v>
      </c>
      <c r="I22" s="97">
        <v>681.98</v>
      </c>
      <c r="J22" s="97">
        <v>681.98</v>
      </c>
      <c r="K22" s="97">
        <v>196.33</v>
      </c>
    </row>
    <row r="23" spans="1:11" ht="14.25" thickBot="1" x14ac:dyDescent="0.2">
      <c r="A23" s="35" t="s">
        <v>257</v>
      </c>
      <c r="B23" s="35" t="s">
        <v>292</v>
      </c>
      <c r="C23" s="35" t="s">
        <v>189</v>
      </c>
      <c r="D23" s="35" t="s">
        <v>256</v>
      </c>
      <c r="E23" s="35" t="s">
        <v>187</v>
      </c>
      <c r="F23" s="95">
        <v>532.25</v>
      </c>
      <c r="G23" s="95">
        <v>532.25</v>
      </c>
      <c r="H23" s="96">
        <v>0</v>
      </c>
      <c r="I23" s="95">
        <v>532.25</v>
      </c>
      <c r="J23" s="95">
        <v>532.25</v>
      </c>
      <c r="K23" s="95">
        <v>196.33</v>
      </c>
    </row>
  </sheetData>
  <mergeCells count="2">
    <mergeCell ref="A7:B7"/>
    <mergeCell ref="A10:B10"/>
  </mergeCells>
  <phoneticPr fontId="29" type="noConversion"/>
  <hyperlinks>
    <hyperlink ref="A9" r:id="rId1" display="https://businessportal.itgr.net/irj/servlet/prt/portal/prtroot/pcd!3aportal_content!2fcom.sap.pct!2fplatform_add_ons!2fcom.sap.ip.bi!2fiViews!2fcom.sap.ip.bi.bex?BOOKMARK=00O2TKES8EUYAGFARNKPPM5AQ" xr:uid="{FB94C9BF-78BE-4CB8-9052-AB8F55B56482}"/>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56D9-860D-4681-9F9E-9626A8C33DB8}">
  <dimension ref="A1:G26"/>
  <sheetViews>
    <sheetView topLeftCell="A16" workbookViewId="0">
      <selection activeCell="E73" sqref="E73"/>
    </sheetView>
  </sheetViews>
  <sheetFormatPr defaultRowHeight="13.5" x14ac:dyDescent="0.15"/>
  <cols>
    <col min="2" max="2" width="19" bestFit="1" customWidth="1"/>
    <col min="3" max="3" width="14" bestFit="1" customWidth="1"/>
    <col min="4" max="4" width="17.625" bestFit="1" customWidth="1"/>
    <col min="5" max="5" width="8.25" bestFit="1" customWidth="1"/>
    <col min="6" max="6" width="10.25" bestFit="1" customWidth="1"/>
    <col min="7" max="7" width="15.25" bestFit="1" customWidth="1"/>
  </cols>
  <sheetData>
    <row r="1" spans="1:7" ht="14.25" x14ac:dyDescent="0.2">
      <c r="A1" s="2" t="s">
        <v>196</v>
      </c>
      <c r="B1" s="2"/>
      <c r="C1" s="2"/>
      <c r="D1" s="2"/>
      <c r="E1" s="51"/>
      <c r="F1" s="51"/>
      <c r="G1" s="51"/>
    </row>
    <row r="2" spans="1:7" ht="14.25" x14ac:dyDescent="0.2">
      <c r="A2" s="26" t="s">
        <v>197</v>
      </c>
      <c r="B2" s="29" t="s">
        <v>198</v>
      </c>
      <c r="C2" s="29" t="s">
        <v>199</v>
      </c>
      <c r="D2" s="29" t="s">
        <v>200</v>
      </c>
      <c r="E2" s="52" t="s">
        <v>201</v>
      </c>
      <c r="F2" s="51"/>
      <c r="G2" s="50"/>
    </row>
    <row r="3" spans="1:7" ht="14.25" x14ac:dyDescent="0.2">
      <c r="A3" s="28">
        <v>1</v>
      </c>
      <c r="B3" s="28" t="s">
        <v>103</v>
      </c>
      <c r="C3" s="28" t="s">
        <v>141</v>
      </c>
      <c r="D3" s="28" t="s">
        <v>142</v>
      </c>
      <c r="E3" s="50">
        <v>1</v>
      </c>
      <c r="F3" s="50" t="s">
        <v>116</v>
      </c>
      <c r="G3" s="50"/>
    </row>
    <row r="4" spans="1:7" ht="14.25" x14ac:dyDescent="0.2">
      <c r="A4" s="28">
        <v>2</v>
      </c>
      <c r="B4" s="28" t="s">
        <v>185</v>
      </c>
      <c r="C4" s="49" t="s">
        <v>143</v>
      </c>
      <c r="D4" s="49" t="s">
        <v>202</v>
      </c>
      <c r="E4" s="53">
        <v>1</v>
      </c>
      <c r="F4" s="53" t="s">
        <v>203</v>
      </c>
      <c r="G4" s="53" t="s">
        <v>204</v>
      </c>
    </row>
    <row r="5" spans="1:7" ht="14.25" x14ac:dyDescent="0.2">
      <c r="A5" s="28">
        <v>3</v>
      </c>
      <c r="B5" s="28" t="s">
        <v>105</v>
      </c>
      <c r="C5" s="28" t="s">
        <v>149</v>
      </c>
      <c r="D5" s="28" t="s">
        <v>150</v>
      </c>
      <c r="E5" s="50">
        <v>1</v>
      </c>
      <c r="F5" s="50" t="s">
        <v>116</v>
      </c>
      <c r="G5" s="50"/>
    </row>
    <row r="6" spans="1:7" ht="14.25" x14ac:dyDescent="0.2">
      <c r="A6" s="28">
        <v>4</v>
      </c>
      <c r="B6" s="28" t="s">
        <v>105</v>
      </c>
      <c r="C6" s="49" t="s">
        <v>153</v>
      </c>
      <c r="D6" s="49" t="s">
        <v>105</v>
      </c>
      <c r="E6" s="53">
        <v>1</v>
      </c>
      <c r="F6" s="53" t="s">
        <v>116</v>
      </c>
      <c r="G6" s="53" t="s">
        <v>204</v>
      </c>
    </row>
    <row r="7" spans="1:7" ht="14.25" x14ac:dyDescent="0.2">
      <c r="A7" s="28">
        <v>5</v>
      </c>
      <c r="B7" s="28" t="s">
        <v>105</v>
      </c>
      <c r="C7" s="49" t="s">
        <v>151</v>
      </c>
      <c r="D7" s="49" t="s">
        <v>105</v>
      </c>
      <c r="E7" s="53">
        <v>1</v>
      </c>
      <c r="F7" s="53" t="s">
        <v>116</v>
      </c>
      <c r="G7" s="53" t="s">
        <v>204</v>
      </c>
    </row>
    <row r="8" spans="1:7" ht="14.25" x14ac:dyDescent="0.2">
      <c r="A8" s="28">
        <v>6</v>
      </c>
      <c r="B8" s="49" t="s">
        <v>107</v>
      </c>
      <c r="C8" s="49" t="s">
        <v>205</v>
      </c>
      <c r="D8" s="49" t="s">
        <v>206</v>
      </c>
      <c r="E8" s="53">
        <v>1</v>
      </c>
      <c r="F8" s="53" t="s">
        <v>116</v>
      </c>
      <c r="G8" s="50"/>
    </row>
    <row r="9" spans="1:7" ht="14.25" x14ac:dyDescent="0.2">
      <c r="A9" s="28">
        <v>7</v>
      </c>
      <c r="B9" s="49" t="s">
        <v>107</v>
      </c>
      <c r="C9" s="49" t="s">
        <v>156</v>
      </c>
      <c r="D9" s="49" t="s">
        <v>206</v>
      </c>
      <c r="E9" s="53">
        <v>1</v>
      </c>
      <c r="F9" s="53" t="s">
        <v>116</v>
      </c>
      <c r="G9" s="50"/>
    </row>
    <row r="10" spans="1:7" ht="14.25" x14ac:dyDescent="0.2">
      <c r="A10" s="28">
        <v>8</v>
      </c>
      <c r="B10" s="49" t="s">
        <v>107</v>
      </c>
      <c r="C10" s="49" t="s">
        <v>158</v>
      </c>
      <c r="D10" s="49" t="s">
        <v>206</v>
      </c>
      <c r="E10" s="55">
        <v>1</v>
      </c>
      <c r="F10" s="55" t="s">
        <v>116</v>
      </c>
      <c r="G10" s="50" t="s">
        <v>207</v>
      </c>
    </row>
    <row r="11" spans="1:7" ht="14.25" x14ac:dyDescent="0.2">
      <c r="A11" s="28">
        <v>9</v>
      </c>
      <c r="B11" s="49" t="s">
        <v>107</v>
      </c>
      <c r="C11" s="49" t="s">
        <v>208</v>
      </c>
      <c r="D11" s="49" t="s">
        <v>209</v>
      </c>
      <c r="E11" s="53">
        <v>1</v>
      </c>
      <c r="F11" s="53" t="s">
        <v>116</v>
      </c>
      <c r="G11" s="50"/>
    </row>
    <row r="12" spans="1:7" ht="14.25" x14ac:dyDescent="0.2">
      <c r="A12" s="28">
        <v>10</v>
      </c>
      <c r="B12" s="28" t="s">
        <v>107</v>
      </c>
      <c r="C12" s="28" t="s">
        <v>160</v>
      </c>
      <c r="D12" s="28" t="s">
        <v>210</v>
      </c>
      <c r="E12" s="50">
        <v>1</v>
      </c>
      <c r="F12" s="50" t="s">
        <v>116</v>
      </c>
      <c r="G12" s="50"/>
    </row>
    <row r="13" spans="1:7" ht="14.25" x14ac:dyDescent="0.2">
      <c r="A13" s="28">
        <v>11</v>
      </c>
      <c r="B13" s="28" t="s">
        <v>107</v>
      </c>
      <c r="C13" s="28" t="s">
        <v>211</v>
      </c>
      <c r="D13" s="28" t="s">
        <v>163</v>
      </c>
      <c r="E13" s="50">
        <v>1</v>
      </c>
      <c r="F13" s="50" t="s">
        <v>116</v>
      </c>
      <c r="G13" s="50"/>
    </row>
    <row r="14" spans="1:7" ht="14.25" x14ac:dyDescent="0.2">
      <c r="A14" s="28">
        <v>12</v>
      </c>
      <c r="B14" s="28" t="s">
        <v>107</v>
      </c>
      <c r="C14" s="28" t="s">
        <v>212</v>
      </c>
      <c r="D14" s="28" t="s">
        <v>163</v>
      </c>
      <c r="E14" s="50">
        <v>1</v>
      </c>
      <c r="F14" s="50" t="s">
        <v>116</v>
      </c>
      <c r="G14" s="50"/>
    </row>
    <row r="15" spans="1:7" ht="14.25" x14ac:dyDescent="0.2">
      <c r="A15" s="28">
        <v>13</v>
      </c>
      <c r="B15" s="28" t="s">
        <v>107</v>
      </c>
      <c r="C15" s="28" t="s">
        <v>162</v>
      </c>
      <c r="D15" s="28" t="s">
        <v>163</v>
      </c>
      <c r="E15" s="50">
        <v>1</v>
      </c>
      <c r="F15" s="50" t="s">
        <v>116</v>
      </c>
      <c r="G15" s="50"/>
    </row>
    <row r="16" spans="1:7" ht="14.25" x14ac:dyDescent="0.2">
      <c r="A16" s="28">
        <v>14</v>
      </c>
      <c r="B16" s="28" t="s">
        <v>107</v>
      </c>
      <c r="C16" s="28" t="s">
        <v>164</v>
      </c>
      <c r="D16" s="28" t="s">
        <v>165</v>
      </c>
      <c r="E16" s="50">
        <v>1</v>
      </c>
      <c r="F16" s="50" t="s">
        <v>116</v>
      </c>
      <c r="G16" s="50"/>
    </row>
    <row r="17" spans="1:7" ht="14.25" x14ac:dyDescent="0.2">
      <c r="A17" s="28">
        <v>15</v>
      </c>
      <c r="B17" s="28" t="s">
        <v>108</v>
      </c>
      <c r="C17" s="28" t="s">
        <v>166</v>
      </c>
      <c r="D17" s="28" t="s">
        <v>213</v>
      </c>
      <c r="E17" s="50">
        <v>0.5</v>
      </c>
      <c r="F17" s="50" t="s">
        <v>203</v>
      </c>
      <c r="G17" s="50" t="s">
        <v>204</v>
      </c>
    </row>
    <row r="18" spans="1:7" ht="14.25" x14ac:dyDescent="0.2">
      <c r="A18" s="28">
        <v>16</v>
      </c>
      <c r="B18" s="28" t="s">
        <v>108</v>
      </c>
      <c r="C18" s="28" t="s">
        <v>172</v>
      </c>
      <c r="D18" s="28" t="s">
        <v>214</v>
      </c>
      <c r="E18" s="50">
        <v>0.5</v>
      </c>
      <c r="F18" s="50" t="s">
        <v>215</v>
      </c>
      <c r="G18" s="50" t="s">
        <v>204</v>
      </c>
    </row>
    <row r="19" spans="1:7" ht="14.25" x14ac:dyDescent="0.2">
      <c r="A19" s="28">
        <v>17</v>
      </c>
      <c r="B19" s="28" t="s">
        <v>108</v>
      </c>
      <c r="C19" s="28" t="s">
        <v>174</v>
      </c>
      <c r="D19" s="28" t="s">
        <v>216</v>
      </c>
      <c r="E19" s="50">
        <v>0.5</v>
      </c>
      <c r="F19" s="50" t="s">
        <v>215</v>
      </c>
      <c r="G19" s="50" t="s">
        <v>204</v>
      </c>
    </row>
    <row r="20" spans="1:7" ht="14.25" x14ac:dyDescent="0.2">
      <c r="A20" s="28">
        <v>18</v>
      </c>
      <c r="B20" s="28" t="s">
        <v>108</v>
      </c>
      <c r="C20" s="28" t="s">
        <v>180</v>
      </c>
      <c r="D20" s="28" t="s">
        <v>96</v>
      </c>
      <c r="E20" s="50">
        <v>1</v>
      </c>
      <c r="F20" s="50" t="s">
        <v>116</v>
      </c>
      <c r="G20" s="50" t="s">
        <v>204</v>
      </c>
    </row>
    <row r="21" spans="1:7" ht="14.25" x14ac:dyDescent="0.2">
      <c r="A21" s="28">
        <v>19</v>
      </c>
      <c r="B21" s="28" t="s">
        <v>108</v>
      </c>
      <c r="C21" s="28" t="s">
        <v>170</v>
      </c>
      <c r="D21" s="28" t="s">
        <v>217</v>
      </c>
      <c r="E21" s="50">
        <v>0.5</v>
      </c>
      <c r="F21" s="50" t="s">
        <v>116</v>
      </c>
      <c r="G21" s="50" t="s">
        <v>204</v>
      </c>
    </row>
    <row r="22" spans="1:7" ht="14.25" x14ac:dyDescent="0.2">
      <c r="A22" s="28">
        <v>20</v>
      </c>
      <c r="B22" s="28" t="s">
        <v>108</v>
      </c>
      <c r="C22" s="28" t="s">
        <v>176</v>
      </c>
      <c r="D22" s="28" t="s">
        <v>218</v>
      </c>
      <c r="E22" s="50">
        <v>1</v>
      </c>
      <c r="F22" s="50" t="s">
        <v>116</v>
      </c>
      <c r="G22" s="50" t="s">
        <v>204</v>
      </c>
    </row>
    <row r="23" spans="1:7" ht="14.25" x14ac:dyDescent="0.2">
      <c r="A23" s="28">
        <v>21</v>
      </c>
      <c r="B23" s="28" t="s">
        <v>219</v>
      </c>
      <c r="C23" s="28" t="s">
        <v>135</v>
      </c>
      <c r="D23" s="28" t="s">
        <v>220</v>
      </c>
      <c r="E23" s="50">
        <v>1</v>
      </c>
      <c r="F23" s="50" t="s">
        <v>116</v>
      </c>
      <c r="G23" s="50" t="s">
        <v>221</v>
      </c>
    </row>
    <row r="24" spans="1:7" ht="14.25" x14ac:dyDescent="0.2">
      <c r="A24" s="28">
        <v>22</v>
      </c>
      <c r="B24" s="28" t="s">
        <v>222</v>
      </c>
      <c r="C24" s="28" t="s">
        <v>223</v>
      </c>
      <c r="D24" s="28" t="s">
        <v>222</v>
      </c>
      <c r="E24" s="50">
        <v>1</v>
      </c>
      <c r="F24" s="50" t="s">
        <v>116</v>
      </c>
      <c r="G24" s="50" t="s">
        <v>224</v>
      </c>
    </row>
    <row r="25" spans="1:7" ht="14.25" x14ac:dyDescent="0.2">
      <c r="A25" s="28">
        <v>23</v>
      </c>
      <c r="B25" s="28" t="s">
        <v>225</v>
      </c>
      <c r="C25" s="28" t="s">
        <v>226</v>
      </c>
      <c r="D25" s="28" t="s">
        <v>225</v>
      </c>
      <c r="E25" s="50">
        <v>0.5</v>
      </c>
      <c r="F25" s="50" t="s">
        <v>116</v>
      </c>
      <c r="G25" s="50" t="s">
        <v>224</v>
      </c>
    </row>
    <row r="26" spans="1:7" ht="14.25" x14ac:dyDescent="0.2">
      <c r="A26" s="28">
        <v>24</v>
      </c>
      <c r="B26" s="28" t="s">
        <v>108</v>
      </c>
      <c r="C26" s="28" t="s">
        <v>168</v>
      </c>
      <c r="D26" s="28" t="s">
        <v>169</v>
      </c>
      <c r="E26" s="50">
        <v>1</v>
      </c>
      <c r="F26" s="50" t="s">
        <v>116</v>
      </c>
      <c r="G26" s="53" t="s">
        <v>227</v>
      </c>
    </row>
  </sheetData>
  <phoneticPr fontId="29" type="noConversion"/>
  <pageMargins left="0.7" right="0.7" top="0.75" bottom="0.75" header="0.3" footer="0.3"/>
</worksheet>
</file>

<file path=docMetadata/LabelInfo.xml><?xml version="1.0" encoding="utf-8"?>
<clbl:labelList xmlns:clbl="http://schemas.microsoft.com/office/2020/mipLabelMetadata">
  <clbl:label id="{948094c8-480e-400b-91c4-c984b7e20814}" enabled="1" method="Standard" siteId="{a1109567-0815-4e1f-88af-e23555482aa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Instruction</vt:lpstr>
      <vt:lpstr>Instruction_AUD</vt:lpstr>
      <vt:lpstr>AUD Pre-cal</vt:lpstr>
      <vt:lpstr>P&amp;L</vt:lpstr>
      <vt:lpstr>Hourly Rate</vt:lpstr>
      <vt:lpstr>Mapping</vt:lpstr>
      <vt:lpstr>Instruction!Print_Area</vt:lpstr>
    </vt:vector>
  </TitlesOfParts>
  <Manager/>
  <Company>TUV Asia Pacific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yu-cr</dc:creator>
  <cp:keywords/>
  <dc:description/>
  <cp:lastModifiedBy>Wang, Irene</cp:lastModifiedBy>
  <cp:revision/>
  <dcterms:created xsi:type="dcterms:W3CDTF">2013-03-08T03:09:38Z</dcterms:created>
  <dcterms:modified xsi:type="dcterms:W3CDTF">2026-05-13T08:30:27Z</dcterms:modified>
  <cp:category/>
  <cp:contentStatus/>
</cp:coreProperties>
</file>