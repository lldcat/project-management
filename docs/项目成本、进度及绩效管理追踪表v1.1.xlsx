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zhang-bl\工作\项目管理程序\RE_ 【Project Management Tool】项目成本、进度及绩效管理追踪表\"/>
    </mc:Choice>
  </mc:AlternateContent>
  <xr:revisionPtr revIDLastSave="0" documentId="13_ncr:1_{1B833F35-B9EA-43C3-B299-44680D2549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项目成本、进度及绩效管理表-示例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20" i="2"/>
  <c r="B15" i="2"/>
  <c r="B12" i="2"/>
  <c r="B21" i="2"/>
  <c r="B19" i="2"/>
  <c r="B25" i="2" l="1"/>
  <c r="B22" i="2"/>
  <c r="B23" i="2"/>
  <c r="B24" i="2"/>
</calcChain>
</file>

<file path=xl/sharedStrings.xml><?xml version="1.0" encoding="utf-8"?>
<sst xmlns="http://schemas.openxmlformats.org/spreadsheetml/2006/main" count="63" uniqueCount="56">
  <si>
    <t>子项目1</t>
  </si>
  <si>
    <t>子项目2</t>
  </si>
  <si>
    <t>子项目3</t>
  </si>
  <si>
    <t>预算总工时（小时）</t>
  </si>
  <si>
    <t>“人天”这里填报价单上的所有人天（onsite+Offsite）*8；</t>
  </si>
  <si>
    <t>预算人工天单价（元）</t>
  </si>
  <si>
    <t>差旅费（元）</t>
  </si>
  <si>
    <t>此处填写报价单上的差旅费；</t>
  </si>
  <si>
    <t>项目总预算（BAC）</t>
  </si>
  <si>
    <t xml:space="preserve">注：自动生成，无需填写。
</t>
  </si>
  <si>
    <t>应完成的工时数（小时）</t>
  </si>
  <si>
    <t>结合项目进度表，将总工时分拆到具体每一个步骤中，此处填写按照进步表，应该完成的工时数；</t>
  </si>
  <si>
    <t>应完工的比例（%）</t>
  </si>
  <si>
    <t>注：自动生成，无需填写。</t>
  </si>
  <si>
    <t>计划价值（Planned Value, PV）</t>
  </si>
  <si>
    <t>实际完工小时数</t>
  </si>
  <si>
    <t>PM-AR已填报工时</t>
  </si>
  <si>
    <t>组员1-AR已填报工时</t>
  </si>
  <si>
    <t>组员2-AR已填报工时</t>
  </si>
  <si>
    <t>实际完工的比例（%）</t>
  </si>
  <si>
    <t>挣值（Earned Value, EV）</t>
  </si>
  <si>
    <t>项目组的实际成本（Actual Cost,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</si>
  <si>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“人天单价”我们公司内部定义的人天单价，用50万÷当月ESG部门的人数，暂且都用固定使用5000；</t>
    </r>
  </si>
  <si>
    <t>成本偏差（CV = EV -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</si>
  <si>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衡量成本是否超支，＜0代表亏损了；</t>
    </r>
  </si>
  <si>
    <t>进度偏差（SV = EV - PV）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</si>
  <si>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衡量进度是否落后或超前，＜0就能看出滞后了；</t>
    </r>
  </si>
  <si>
    <t>成本绩效（CPI = EV / AC）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</si>
  <si>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CPI &gt; 1 表示是盈利的；</t>
    </r>
  </si>
  <si>
    <t>进度绩效（SPI = EV / PV）</t>
  </si>
  <si>
    <r>
      <rPr>
        <sz val="8"/>
        <color rgb="FFFF0000"/>
        <rFont val="TUV SUD Pro Light"/>
        <family val="2"/>
      </rPr>
      <t>注：自动生成，无需填写。</t>
    </r>
    <r>
      <rPr>
        <sz val="8"/>
        <color rgb="FF000000"/>
        <rFont val="TUV SUD Pro Light"/>
        <family val="2"/>
      </rPr>
      <t>SPI &gt; 1 表示进度超前，没有滞后；</t>
    </r>
  </si>
  <si>
    <t>项目成本、进度及绩效管理表</t>
  </si>
  <si>
    <t>“人天单价”填写报价单上的价格，如果一个项目里有多个子项目或单价，则分别填写。</t>
  </si>
  <si>
    <t>客户名称</t>
  </si>
  <si>
    <t>项目号</t>
  </si>
  <si>
    <t>项目起止时间</t>
  </si>
  <si>
    <t>项目经理</t>
  </si>
  <si>
    <t>项目组员</t>
  </si>
  <si>
    <t>重要提醒：
1）该表不仅适用于商品检测主体签署的咨询合同，也适用于认证检测主体下签署的合同，一份合同一张表；“一单一表”管理，即每个订单都要单独填写此表；
2）PM负责填写此表，每个月19日之前完成填写，每个月20号在例会上review；
3）2026年1月1日以后立项的项目，都需要补充这个表；
4)蓝色部分需要PM填写，绿色部分有公式，可自动生成数值，勿动，表中数据为模拟测试数据，请使用&lt;项目成本、进度及绩效管理表&gt;填写；</t>
  </si>
  <si>
    <t>-</t>
  </si>
  <si>
    <t>XX有限公司</t>
  </si>
  <si>
    <t>74XXXXXX</t>
  </si>
  <si>
    <t>2026年4月1日-7月30日</t>
  </si>
  <si>
    <t>XX</t>
  </si>
  <si>
    <t>XX,XX,XX</t>
  </si>
  <si>
    <t>截止到当月19号，AR里的所有项目组成员关于本项目的工时加总=(billable time+project time+travel time)；</t>
  </si>
  <si>
    <t>生效日期：</t>
  </si>
  <si>
    <t>2026年1月1日</t>
  </si>
  <si>
    <t>文件版本号：</t>
  </si>
  <si>
    <t>表单制作人：</t>
  </si>
  <si>
    <t>Jophy Zhu</t>
  </si>
  <si>
    <t>表单签批人：</t>
  </si>
  <si>
    <t>Andrew Lee</t>
  </si>
  <si>
    <t>ESGPMT202602.v1</t>
  </si>
  <si>
    <t>组员个人分配工时（小时）</t>
  </si>
  <si>
    <t>PM根据总工时分配给各个组员的工时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</si>
</sst>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0_ ;_ [$¥-804]* \-#,##0.00_ ;_ [$¥-804]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8"/>
      <color rgb="FFFF0000"/>
      <name val="TUV SUD Pro Light"/>
      <family val="2"/>
    </font>
    <font>
      <sz val="11"/>
      <color theme="1"/>
      <name val="TUV SUD Pro Light"/>
      <family val="2"/>
    </font>
    <font>
      <b/>
      <sz val="11"/>
      <color rgb="FFFFFFFF"/>
      <name val="TUV SUD Pro Light"/>
      <family val="2"/>
    </font>
    <font>
      <sz val="9"/>
      <color rgb="FF000000"/>
      <name val="TUV SUD Pro Light"/>
      <family val="2"/>
    </font>
    <font>
      <sz val="8"/>
      <color rgb="FF000000"/>
      <name val="TUV SUD Pro Light"/>
      <family val="2"/>
    </font>
    <font>
      <sz val="11"/>
      <color theme="1"/>
      <name val="Calibri"/>
      <family val="2"/>
      <scheme val="minor"/>
    </font>
    <font>
      <sz val="8"/>
      <color theme="1"/>
      <name val="TUV SUD Pro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CEB99"/>
        <bgColor rgb="FF000000"/>
      </patternFill>
    </fill>
    <fill>
      <patternFill patternType="solid">
        <fgColor rgb="FFA3DB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4" fillId="2" borderId="0" xfId="1" applyFont="1" applyFill="1"/>
    <xf numFmtId="0" fontId="6" fillId="2" borderId="5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vertical="center" wrapText="1"/>
    </xf>
    <xf numFmtId="0" fontId="7" fillId="2" borderId="6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vertical="center" wrapText="1"/>
    </xf>
    <xf numFmtId="9" fontId="6" fillId="0" borderId="8" xfId="2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1" fontId="6" fillId="5" borderId="8" xfId="3" applyNumberFormat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vertical="center" wrapText="1"/>
    </xf>
    <xf numFmtId="0" fontId="7" fillId="2" borderId="8" xfId="1" applyFont="1" applyFill="1" applyBorder="1" applyAlignment="1">
      <alignment vertical="center" wrapText="1"/>
    </xf>
    <xf numFmtId="0" fontId="9" fillId="6" borderId="0" xfId="0" applyFont="1" applyFill="1" applyAlignment="1">
      <alignment wrapText="1"/>
    </xf>
    <xf numFmtId="164" fontId="6" fillId="5" borderId="8" xfId="1" applyNumberFormat="1" applyFont="1" applyFill="1" applyBorder="1" applyAlignment="1">
      <alignment horizontal="center" vertical="center" wrapText="1"/>
    </xf>
    <xf numFmtId="9" fontId="6" fillId="4" borderId="2" xfId="1" applyNumberFormat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6" fillId="4" borderId="4" xfId="1" applyFont="1" applyFill="1" applyBorder="1" applyAlignment="1">
      <alignment horizontal="center" vertical="center" wrapText="1"/>
    </xf>
    <xf numFmtId="9" fontId="6" fillId="4" borderId="2" xfId="2" applyFont="1" applyFill="1" applyBorder="1" applyAlignment="1">
      <alignment horizontal="center" vertical="center" wrapText="1"/>
    </xf>
    <xf numFmtId="9" fontId="6" fillId="4" borderId="3" xfId="2" applyFont="1" applyFill="1" applyBorder="1" applyAlignment="1">
      <alignment horizontal="center" vertical="center" wrapText="1"/>
    </xf>
    <xf numFmtId="9" fontId="6" fillId="4" borderId="4" xfId="2" applyFont="1" applyFill="1" applyBorder="1" applyAlignment="1">
      <alignment horizontal="center" vertical="center" wrapText="1"/>
    </xf>
    <xf numFmtId="164" fontId="6" fillId="4" borderId="2" xfId="2" applyNumberFormat="1" applyFont="1" applyFill="1" applyBorder="1" applyAlignment="1">
      <alignment horizontal="center" vertical="center" wrapText="1"/>
    </xf>
    <xf numFmtId="164" fontId="6" fillId="4" borderId="3" xfId="2" applyNumberFormat="1" applyFont="1" applyFill="1" applyBorder="1" applyAlignment="1">
      <alignment horizontal="center" vertical="center" wrapText="1"/>
    </xf>
    <xf numFmtId="164" fontId="6" fillId="4" borderId="4" xfId="2" applyNumberFormat="1" applyFont="1" applyFill="1" applyBorder="1" applyAlignment="1">
      <alignment horizontal="center" vertical="center" wrapText="1"/>
    </xf>
    <xf numFmtId="2" fontId="6" fillId="4" borderId="2" xfId="1" applyNumberFormat="1" applyFont="1" applyFill="1" applyBorder="1" applyAlignment="1">
      <alignment horizontal="center" vertical="center" wrapText="1"/>
    </xf>
    <xf numFmtId="2" fontId="6" fillId="4" borderId="3" xfId="1" applyNumberFormat="1" applyFont="1" applyFill="1" applyBorder="1" applyAlignment="1">
      <alignment horizontal="center" vertical="center" wrapText="1"/>
    </xf>
    <xf numFmtId="2" fontId="6" fillId="4" borderId="9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 wrapText="1"/>
    </xf>
    <xf numFmtId="164" fontId="6" fillId="5" borderId="3" xfId="1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</cellXfs>
  <cellStyles count="4">
    <cellStyle name="Normal" xfId="0" builtinId="0"/>
    <cellStyle name="Percent" xfId="3" builtinId="5"/>
    <cellStyle name="常规 2" xfId="1" xr:uid="{52CB3C3F-CCB3-4920-B216-4B5D5562B7DC}"/>
    <cellStyle name="百分比 2" xfId="2" xr:uid="{7C265379-8DA9-4088-A7CE-9483415B3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6EBD-A6D8-461F-A4B2-05AAB981079E}">
  <dimension ref="A1:E30"/>
  <sheetViews>
    <sheetView showGridLines="0" tabSelected="1" topLeftCell="A6" workbookViewId="0">
      <selection activeCell="C13" sqref="C13"/>
    </sheetView>
  </sheetViews>
  <sheetFormatPr defaultRowHeight="14"/>
  <cols>
    <col min="1" max="1" width="30.08984375" style="1" customWidth="1"/>
    <col min="2" max="4" width="23.36328125" style="1" customWidth="1"/>
    <col min="5" max="5" width="59.1796875" style="1" customWidth="1"/>
    <col min="6" max="16384" width="8.7265625" style="1"/>
  </cols>
  <sheetData>
    <row r="1" spans="1:5" ht="53" customHeight="1">
      <c r="A1" s="32" t="s">
        <v>38</v>
      </c>
      <c r="B1" s="32"/>
      <c r="C1" s="32"/>
      <c r="D1" s="32"/>
      <c r="E1" s="32"/>
    </row>
    <row r="2" spans="1:5" ht="35.5" customHeight="1">
      <c r="A2" s="33" t="s">
        <v>31</v>
      </c>
      <c r="B2" s="34"/>
      <c r="C2" s="34"/>
      <c r="D2" s="34"/>
      <c r="E2" s="35"/>
    </row>
    <row r="3" spans="1:5">
      <c r="A3" s="2" t="s">
        <v>33</v>
      </c>
      <c r="B3" s="39" t="s">
        <v>40</v>
      </c>
      <c r="C3" s="40"/>
      <c r="D3" s="41"/>
      <c r="E3" s="11" t="s">
        <v>39</v>
      </c>
    </row>
    <row r="4" spans="1:5">
      <c r="A4" s="2" t="s">
        <v>34</v>
      </c>
      <c r="B4" s="39" t="s">
        <v>41</v>
      </c>
      <c r="C4" s="40"/>
      <c r="D4" s="41"/>
      <c r="E4" s="11" t="s">
        <v>39</v>
      </c>
    </row>
    <row r="5" spans="1:5">
      <c r="A5" s="2" t="s">
        <v>35</v>
      </c>
      <c r="B5" s="39" t="s">
        <v>42</v>
      </c>
      <c r="C5" s="40"/>
      <c r="D5" s="41"/>
      <c r="E5" s="11" t="s">
        <v>39</v>
      </c>
    </row>
    <row r="6" spans="1:5">
      <c r="A6" s="2" t="s">
        <v>36</v>
      </c>
      <c r="B6" s="39" t="s">
        <v>43</v>
      </c>
      <c r="C6" s="40"/>
      <c r="D6" s="41"/>
      <c r="E6" s="11" t="s">
        <v>39</v>
      </c>
    </row>
    <row r="7" spans="1:5">
      <c r="A7" s="2" t="s">
        <v>37</v>
      </c>
      <c r="B7" s="39" t="s">
        <v>44</v>
      </c>
      <c r="C7" s="40"/>
      <c r="D7" s="41"/>
      <c r="E7" s="8" t="s">
        <v>39</v>
      </c>
    </row>
    <row r="8" spans="1:5" ht="14.5" customHeight="1">
      <c r="A8" s="18" t="s">
        <v>3</v>
      </c>
      <c r="B8" s="3" t="s">
        <v>0</v>
      </c>
      <c r="C8" s="3" t="s">
        <v>1</v>
      </c>
      <c r="D8" s="3" t="s">
        <v>2</v>
      </c>
      <c r="E8" s="20" t="s">
        <v>4</v>
      </c>
    </row>
    <row r="9" spans="1:5">
      <c r="A9" s="19"/>
      <c r="B9" s="10">
        <v>1</v>
      </c>
      <c r="C9" s="10"/>
      <c r="D9" s="10"/>
      <c r="E9" s="21"/>
    </row>
    <row r="10" spans="1:5">
      <c r="A10" s="2" t="s">
        <v>5</v>
      </c>
      <c r="B10" s="10">
        <v>5000</v>
      </c>
      <c r="C10" s="10"/>
      <c r="D10" s="10"/>
      <c r="E10" s="4" t="s">
        <v>32</v>
      </c>
    </row>
    <row r="11" spans="1:5">
      <c r="A11" s="2" t="s">
        <v>6</v>
      </c>
      <c r="B11" s="36">
        <v>123</v>
      </c>
      <c r="C11" s="37"/>
      <c r="D11" s="38"/>
      <c r="E11" s="4" t="s">
        <v>7</v>
      </c>
    </row>
    <row r="12" spans="1:5" ht="20">
      <c r="A12" s="2" t="s">
        <v>8</v>
      </c>
      <c r="B12" s="36">
        <f>((B9*B10)+(C9*C10)+(D9*D10))/8</f>
        <v>625</v>
      </c>
      <c r="C12" s="37"/>
      <c r="D12" s="38"/>
      <c r="E12" s="5" t="s">
        <v>9</v>
      </c>
    </row>
    <row r="13" spans="1:5">
      <c r="A13" s="2" t="s">
        <v>54</v>
      </c>
      <c r="B13" s="13"/>
      <c r="C13" s="13"/>
      <c r="D13" s="13"/>
      <c r="E13" s="4" t="s">
        <v>55</v>
      </c>
    </row>
    <row r="14" spans="1:5" ht="20">
      <c r="A14" s="2" t="s">
        <v>10</v>
      </c>
      <c r="B14" s="10">
        <v>1</v>
      </c>
      <c r="C14" s="10">
        <v>1</v>
      </c>
      <c r="D14" s="10">
        <v>1</v>
      </c>
      <c r="E14" s="4" t="s">
        <v>11</v>
      </c>
    </row>
    <row r="15" spans="1:5">
      <c r="A15" s="2" t="s">
        <v>12</v>
      </c>
      <c r="B15" s="23">
        <f>IFERROR(SUM(B14:D14)/SUM(B9:D9),"")</f>
        <v>3</v>
      </c>
      <c r="C15" s="24"/>
      <c r="D15" s="25"/>
      <c r="E15" s="5" t="s">
        <v>13</v>
      </c>
    </row>
    <row r="16" spans="1:5">
      <c r="A16" s="2" t="s">
        <v>14</v>
      </c>
      <c r="B16" s="26">
        <f>MIN(B15,100%)*B12</f>
        <v>625</v>
      </c>
      <c r="C16" s="27"/>
      <c r="D16" s="28"/>
      <c r="E16" s="5" t="s">
        <v>13</v>
      </c>
    </row>
    <row r="17" spans="1:5" ht="14.5" customHeight="1">
      <c r="A17" s="18" t="s">
        <v>15</v>
      </c>
      <c r="B17" s="6" t="s">
        <v>16</v>
      </c>
      <c r="C17" s="6" t="s">
        <v>17</v>
      </c>
      <c r="D17" s="6" t="s">
        <v>18</v>
      </c>
      <c r="E17" s="20" t="s">
        <v>45</v>
      </c>
    </row>
    <row r="18" spans="1:5">
      <c r="A18" s="19"/>
      <c r="B18" s="9">
        <v>1</v>
      </c>
      <c r="C18" s="9">
        <v>8</v>
      </c>
      <c r="D18" s="9">
        <v>12</v>
      </c>
      <c r="E18" s="21"/>
    </row>
    <row r="19" spans="1:5">
      <c r="A19" s="2" t="s">
        <v>19</v>
      </c>
      <c r="B19" s="14">
        <f>SUM(B18:D18)/SUM(B9:D9)</f>
        <v>21</v>
      </c>
      <c r="C19" s="15"/>
      <c r="D19" s="22"/>
      <c r="E19" s="5" t="s">
        <v>13</v>
      </c>
    </row>
    <row r="20" spans="1:5">
      <c r="A20" s="7" t="s">
        <v>20</v>
      </c>
      <c r="B20" s="26">
        <f>MIN(B19,100%)*B12</f>
        <v>625</v>
      </c>
      <c r="C20" s="27"/>
      <c r="D20" s="28"/>
      <c r="E20" s="5" t="s">
        <v>13</v>
      </c>
    </row>
    <row r="21" spans="1:5" ht="20">
      <c r="A21" s="7" t="s">
        <v>21</v>
      </c>
      <c r="B21" s="26">
        <f>SUM(B18:D18)/8*5000</f>
        <v>13125</v>
      </c>
      <c r="C21" s="27"/>
      <c r="D21" s="28"/>
      <c r="E21" s="4" t="s">
        <v>22</v>
      </c>
    </row>
    <row r="22" spans="1:5">
      <c r="A22" s="2" t="s">
        <v>23</v>
      </c>
      <c r="B22" s="29">
        <f>B20-B21</f>
        <v>-12500</v>
      </c>
      <c r="C22" s="30"/>
      <c r="D22" s="31"/>
      <c r="E22" s="4" t="s">
        <v>24</v>
      </c>
    </row>
    <row r="23" spans="1:5">
      <c r="A23" s="2" t="s">
        <v>25</v>
      </c>
      <c r="B23" s="14">
        <f>B20-B16</f>
        <v>0</v>
      </c>
      <c r="C23" s="15"/>
      <c r="D23" s="16"/>
      <c r="E23" s="4" t="s">
        <v>26</v>
      </c>
    </row>
    <row r="24" spans="1:5">
      <c r="A24" s="2" t="s">
        <v>27</v>
      </c>
      <c r="B24" s="17">
        <f>B20/B21</f>
        <v>4.7619047619047616E-2</v>
      </c>
      <c r="C24" s="15"/>
      <c r="D24" s="16"/>
      <c r="E24" s="4" t="s">
        <v>28</v>
      </c>
    </row>
    <row r="25" spans="1:5">
      <c r="A25" s="2" t="s">
        <v>29</v>
      </c>
      <c r="B25" s="17">
        <f>B20/B16</f>
        <v>1</v>
      </c>
      <c r="C25" s="15"/>
      <c r="D25" s="16"/>
      <c r="E25" s="4" t="s">
        <v>30</v>
      </c>
    </row>
    <row r="27" spans="1:5">
      <c r="A27" s="12" t="s">
        <v>46</v>
      </c>
      <c r="B27" s="12" t="s">
        <v>47</v>
      </c>
    </row>
    <row r="28" spans="1:5">
      <c r="A28" s="12" t="s">
        <v>48</v>
      </c>
      <c r="B28" s="12" t="s">
        <v>53</v>
      </c>
    </row>
    <row r="29" spans="1:5">
      <c r="A29" s="12" t="s">
        <v>49</v>
      </c>
      <c r="B29" s="12" t="s">
        <v>50</v>
      </c>
    </row>
    <row r="30" spans="1:5">
      <c r="A30" s="12" t="s">
        <v>51</v>
      </c>
      <c r="B30" s="12" t="s">
        <v>52</v>
      </c>
    </row>
  </sheetData>
  <mergeCells count="22">
    <mergeCell ref="B16:D16"/>
    <mergeCell ref="A1:E1"/>
    <mergeCell ref="A2:E2"/>
    <mergeCell ref="B11:D11"/>
    <mergeCell ref="B12:D12"/>
    <mergeCell ref="B15:D15"/>
    <mergeCell ref="B3:D3"/>
    <mergeCell ref="B4:D4"/>
    <mergeCell ref="B5:D5"/>
    <mergeCell ref="B6:D6"/>
    <mergeCell ref="B7:D7"/>
    <mergeCell ref="A8:A9"/>
    <mergeCell ref="E8:E9"/>
    <mergeCell ref="B23:D23"/>
    <mergeCell ref="B24:D24"/>
    <mergeCell ref="B25:D25"/>
    <mergeCell ref="A17:A18"/>
    <mergeCell ref="E17:E18"/>
    <mergeCell ref="B19:D19"/>
    <mergeCell ref="B20:D20"/>
    <mergeCell ref="B21:D21"/>
    <mergeCell ref="B22:D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项目成本、进度及绩效管理表-示例表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Wenjun (Jophy)</dc:creator>
  <cp:lastModifiedBy>Zhang, Bailiang (Neo)</cp:lastModifiedBy>
  <dcterms:created xsi:type="dcterms:W3CDTF">2015-06-05T18:17:20Z</dcterms:created>
  <dcterms:modified xsi:type="dcterms:W3CDTF">2026-06-23T06:43:13Z</dcterms:modified>
</cp:coreProperties>
</file>